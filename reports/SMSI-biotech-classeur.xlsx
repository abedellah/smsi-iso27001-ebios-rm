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Socle" sheetId="2" state="visible" r:id="rId2"/>
    <sheet xmlns:r="http://schemas.openxmlformats.org/officeDocument/2006/relationships" name="Événements redoutés" sheetId="3" state="visible" r:id="rId3"/>
    <sheet xmlns:r="http://schemas.openxmlformats.org/officeDocument/2006/relationships" name="Couples SR-OV" sheetId="4" state="visible" r:id="rId4"/>
    <sheet xmlns:r="http://schemas.openxmlformats.org/officeDocument/2006/relationships" name="Parties prenantes" sheetId="5" state="visible" r:id="rId5"/>
    <sheet xmlns:r="http://schemas.openxmlformats.org/officeDocument/2006/relationships" name="Risques" sheetId="6" state="visible" r:id="rId6"/>
    <sheet xmlns:r="http://schemas.openxmlformats.org/officeDocument/2006/relationships" name="Modes opératoires" sheetId="7" state="visible" r:id="rId7"/>
    <sheet xmlns:r="http://schemas.openxmlformats.org/officeDocument/2006/relationships" name="Plan de traitement" sheetId="8" state="visible" r:id="rId8"/>
    <sheet xmlns:r="http://schemas.openxmlformats.org/officeDocument/2006/relationships" name="Déclaration d'applicabilité" sheetId="9" state="visible" r:id="rId9"/>
    <sheet xmlns:r="http://schemas.openxmlformats.org/officeDocument/2006/relationships" name="Indicateurs" sheetId="10" state="visible" r:id="rId10"/>
    <sheet xmlns:r="http://schemas.openxmlformats.org/officeDocument/2006/relationships" name="Trajectoire" sheetId="11" state="visible" r:id="rId11"/>
  </sheets>
  <definedNames>
    <definedName name="_xlnm._FilterDatabase" localSheetId="1" hidden="1">'Socle'!$A$1:$H$43</definedName>
    <definedName name="_xlnm._FilterDatabase" localSheetId="2" hidden="1">'Événements redoutés'!$A$1:$E$10</definedName>
    <definedName name="_xlnm._FilterDatabase" localSheetId="3" hidden="1">'Couples SR-OV'!$A$1:$K$6</definedName>
    <definedName name="_xlnm._FilterDatabase" localSheetId="4" hidden="1">'Parties prenantes'!$A$1:$M$10</definedName>
    <definedName name="_xlnm._FilterDatabase" localSheetId="5" hidden="1">'Risques'!$A$1:$O$8</definedName>
    <definedName name="_xlnm._FilterDatabase" localSheetId="6" hidden="1">'Modes opératoires'!$A$1:$F$51</definedName>
    <definedName name="_xlnm._FilterDatabase" localSheetId="7" hidden="1">'Plan de traitement'!$A$1:$O$27</definedName>
    <definedName name="_xlnm._FilterDatabase" localSheetId="8" hidden="1">'Déclaration d''applicabilité'!$A$1:$J$94</definedName>
    <definedName name="_xlnm._FilterDatabase" localSheetId="9" hidden="1">'Indicateurs'!$A$1:$H$14</definedName>
    <definedName name="_xlnm._FilterDatabase" localSheetId="10" hidden="1">'Trajectoire'!$A$1:$L$8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b val="1"/>
      <sz val="12"/>
    </font>
    <font>
      <i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2" fillId="2" borderId="0" pivotButton="0" quotePrefix="0" xfId="0"/>
    <xf numFmtId="0" fontId="4" fillId="0" borderId="0" pivotButton="0" quotePrefix="0" xfId="0"/>
  </cellXfs>
  <cellStyles count="1">
    <cellStyle name="Normal" xfId="0" builtinId="0" hidden="0"/>
  </cellStyles>
  <dxfs count="3">
    <dxf>
      <fill>
        <patternFill patternType="solid">
          <bgColor rgb="00C6EFCE"/>
        </patternFill>
      </fill>
    </dxf>
    <dxf>
      <fill>
        <patternFill patternType="solid">
          <bgColor rgb="00FFEB9C"/>
        </patternFill>
      </fill>
    </dxf>
    <dxf>
      <fill>
        <patternFill patternType="soli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50" customWidth="1" min="1" max="1"/>
  </cols>
  <sheetData>
    <row r="1">
      <c r="A1" s="1" t="inlineStr">
        <is>
          <t>SMSI ISO/IEC 27001 et analyse de risques EBIOS RM : cas de référence de l'ANSSI (biotechnologie, fictive)</t>
        </is>
      </c>
    </row>
    <row r="2">
      <c r="A2" t="inlineStr">
        <is>
          <t>Classeur généré par tools/build.py à partir des fichiers de data/. Les scores et niveaux des feuilles Risques et Parties prenantes sont des formules.</t>
        </is>
      </c>
    </row>
    <row r="3">
      <c r="A3" t="inlineStr">
        <is>
          <t>Source des éléments repris : ANSSI, La méthode EBIOS Risk Manager - Le guide, v1.5, sept. 2024, et Guide d'hygiène informatique, v2.0, sept. 2017. Licence Ouverte Etalab V1. Voir CREDITS.md.</t>
        </is>
      </c>
    </row>
    <row r="4">
      <c r="A4" t="inlineStr">
        <is>
          <t>Colonne Source : 'ANSSI-EBIOS p. N' = repris du guide ; 'Original' = travail de ce projet ; 'Hypothèse' = choix à discuter.</t>
        </is>
      </c>
    </row>
    <row r="5">
      <c r="A5" t="inlineStr">
        <is>
          <t>Projet non affilié à l'ANSSI, au Club EBIOS ni à l'ISO. Entreprise fictive : aucun lien avec une organisation réelle.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60" customWidth="1" min="3" max="3"/>
    <col width="10" customWidth="1" min="4" max="4"/>
    <col width="60" customWidth="1" min="5" max="5"/>
    <col width="10" customWidth="1" min="6" max="6"/>
    <col width="10" customWidth="1" min="7" max="7"/>
    <col width="10" customWidth="1" min="8" max="8"/>
  </cols>
  <sheetData>
    <row r="1">
      <c r="A1" s="2" t="inlineStr">
        <is>
          <t>Règle</t>
        </is>
      </c>
      <c r="B1" s="2" t="inlineStr">
        <is>
          <t>Section</t>
        </is>
      </c>
      <c r="C1" s="2" t="inlineStr">
        <is>
          <t>Intitulé</t>
        </is>
      </c>
      <c r="D1" s="2" t="inlineStr">
        <is>
          <t>État</t>
        </is>
      </c>
      <c r="E1" s="2" t="inlineStr">
        <is>
          <t>Écart</t>
        </is>
      </c>
      <c r="F1" s="2" t="inlineStr">
        <is>
          <t>Mesures</t>
        </is>
      </c>
      <c r="G1" s="2" t="inlineStr">
        <is>
          <t>Annexe A</t>
        </is>
      </c>
      <c r="H1" s="2" t="inlineStr">
        <is>
          <t>Source</t>
        </is>
      </c>
    </row>
    <row r="2">
      <c r="A2" s="3" t="n">
        <v>1</v>
      </c>
      <c r="B2" s="3" t="inlineStr">
        <is>
          <t>I. Sensibiliser et former</t>
        </is>
      </c>
      <c r="C2" s="3" t="inlineStr">
        <is>
          <t>Former les équipes opérationnelles à la sécurité des systèmes d'information</t>
        </is>
      </c>
      <c r="D2" s="3" t="inlineStr">
        <is>
          <t>rouge</t>
        </is>
      </c>
      <c r="E2" s="3" t="inlineStr">
        <is>
          <t>Aucune formation à la sécurité pour la DSI et les équipes de production</t>
        </is>
      </c>
      <c r="F2" s="3" t="inlineStr">
        <is>
          <t>N13</t>
        </is>
      </c>
      <c r="G2" s="3" t="inlineStr">
        <is>
          <t>6.3</t>
        </is>
      </c>
      <c r="H2" s="3" t="inlineStr">
        <is>
          <t>Hypothèse</t>
        </is>
      </c>
    </row>
    <row r="3">
      <c r="A3" s="3" t="n">
        <v>2</v>
      </c>
      <c r="B3" s="3" t="inlineStr">
        <is>
          <t>I. Sensibiliser et former</t>
        </is>
      </c>
      <c r="C3" s="3" t="inlineStr">
        <is>
          <t>Sensibiliser les utilisateurs aux bonnes pratiques élémentaires de sécurité informatique</t>
        </is>
      </c>
      <c r="D3" s="3" t="inlineStr">
        <is>
          <t>orange</t>
        </is>
      </c>
      <c r="E3" s="3" t="inlineStr">
        <is>
          <t>Sensibilisation faite à la prise de poste seulement, ni régulière ni centrée sur l'hameçonnage ; une charte informatique existe</t>
        </is>
      </c>
      <c r="F3" s="3" t="inlineStr">
        <is>
          <t>M01</t>
        </is>
      </c>
      <c r="G3" s="3" t="inlineStr">
        <is>
          <t>6.3, 5.10</t>
        </is>
      </c>
      <c r="H3" s="3" t="inlineStr">
        <is>
          <t>ANSSI-EBIOS p. 11, p. 77</t>
        </is>
      </c>
    </row>
    <row r="4">
      <c r="A4" s="3" t="n">
        <v>3</v>
      </c>
      <c r="B4" s="3" t="inlineStr">
        <is>
          <t>I. Sensibiliser et former</t>
        </is>
      </c>
      <c r="C4" s="3" t="inlineStr">
        <is>
          <t>Maîtriser les risques de l'infogérance</t>
        </is>
      </c>
      <c r="D4" s="3" t="inlineStr">
        <is>
          <t>rouge</t>
        </is>
      </c>
      <c r="E4" s="3" t="inlineStr">
        <is>
          <t>Le prestataire informatique a des droits d'accès élevés et une sécurité faible ; les contrats n'imposent pas de niveau de sécurité</t>
        </is>
      </c>
      <c r="F4" s="3" t="inlineStr">
        <is>
          <t>M03, M04, M05</t>
        </is>
      </c>
      <c r="G4" s="3" t="inlineStr">
        <is>
          <t>5.19, 5.20, 5.21, 5.22, 5.23</t>
        </is>
      </c>
      <c r="H4" s="3" t="inlineStr">
        <is>
          <t>ANSSI-EBIOS p. 67, p. 77</t>
        </is>
      </c>
    </row>
    <row r="5">
      <c r="A5" s="3" t="n">
        <v>4</v>
      </c>
      <c r="B5" s="3" t="inlineStr">
        <is>
          <t>II. Connaître le système d'information</t>
        </is>
      </c>
      <c r="C5" s="3" t="inlineStr">
        <is>
          <t>Identifier les informations et serveurs les plus sensibles et maintenir un schéma du réseau</t>
        </is>
      </c>
      <c r="D5" s="3" t="inlineStr">
        <is>
          <t>orange</t>
        </is>
      </c>
      <c r="E5" s="3" t="inlineStr">
        <is>
          <t>Les valeurs métier et leurs supports sont identifiés (atelier 1) ; pas de schéma réseau à jour</t>
        </is>
      </c>
      <c r="F5" s="3" t="inlineStr">
        <is>
          <t>M06, N11</t>
        </is>
      </c>
      <c r="G5" s="3" t="inlineStr">
        <is>
          <t>5.9, 5.12</t>
        </is>
      </c>
      <c r="H5" s="3" t="inlineStr">
        <is>
          <t>Hypothèse</t>
        </is>
      </c>
    </row>
    <row r="6">
      <c r="A6" s="3" t="n">
        <v>5</v>
      </c>
      <c r="B6" s="3" t="inlineStr">
        <is>
          <t>II. Connaître le système d'information</t>
        </is>
      </c>
      <c r="C6" s="3" t="inlineStr">
        <is>
          <t>Disposer d'un inventaire exhaustif des comptes privilégiés et le maintenir à jour</t>
        </is>
      </c>
      <c r="D6" s="3" t="inlineStr">
        <is>
          <t>rouge</t>
        </is>
      </c>
      <c r="E6" s="3" t="inlineStr">
        <is>
          <t>Pas d'inventaire des comptes privilégiés, dont celui du prestataire informatique</t>
        </is>
      </c>
      <c r="F6" s="3" t="inlineStr">
        <is>
          <t>N05, N11</t>
        </is>
      </c>
      <c r="G6" s="3" t="inlineStr">
        <is>
          <t>8.2, 5.16, 5.18</t>
        </is>
      </c>
      <c r="H6" s="3" t="inlineStr">
        <is>
          <t>Hypothèse</t>
        </is>
      </c>
    </row>
    <row r="7">
      <c r="A7" s="3" t="n">
        <v>6</v>
      </c>
      <c r="B7" s="3" t="inlineStr">
        <is>
          <t>II. Connaître le système d'information</t>
        </is>
      </c>
      <c r="C7" s="3" t="inlineStr">
        <is>
          <t>Organiser les procédures d'arrivée, de départ et de changement de fonction des utilisateurs</t>
        </is>
      </c>
      <c r="D7" s="3" t="inlineStr">
        <is>
          <t>orange</t>
        </is>
      </c>
      <c r="E7" s="3" t="inlineStr">
        <is>
          <t>Procédure RH existante, sans lien systématique avec la suppression des accès informatiques</t>
        </is>
      </c>
      <c r="F7" s="3" t="inlineStr">
        <is>
          <t>N11</t>
        </is>
      </c>
      <c r="G7" s="3" t="inlineStr">
        <is>
          <t>5.11, 5.18, 6.5</t>
        </is>
      </c>
      <c r="H7" s="3" t="inlineStr">
        <is>
          <t>Hypothèse</t>
        </is>
      </c>
    </row>
    <row r="8">
      <c r="A8" s="3" t="n">
        <v>7</v>
      </c>
      <c r="B8" s="3" t="inlineStr">
        <is>
          <t>II. Connaître le système d'information</t>
        </is>
      </c>
      <c r="C8" s="3" t="inlineStr">
        <is>
          <t>Autoriser la connexion au réseau de l'entité aux seuls équipements maîtrisés</t>
        </is>
      </c>
      <c r="D8" s="3" t="inlineStr">
        <is>
          <t>rouge</t>
        </is>
      </c>
      <c r="E8" s="3" t="inlineStr">
        <is>
          <t>Aucun contrôle des équipements qui se connectent au réseau</t>
        </is>
      </c>
      <c r="F8" s="3" t="inlineStr">
        <is>
          <t>M13, N11</t>
        </is>
      </c>
      <c r="G8" s="3" t="inlineStr">
        <is>
          <t>5.9, 8.1, 8.20</t>
        </is>
      </c>
      <c r="H8" s="3" t="inlineStr">
        <is>
          <t>Hypothèse</t>
        </is>
      </c>
    </row>
    <row r="9">
      <c r="A9" s="3" t="n">
        <v>8</v>
      </c>
      <c r="B9" s="3" t="inlineStr">
        <is>
          <t>III. Authentifier et contrôler les accès</t>
        </is>
      </c>
      <c r="C9" s="3" t="inlineStr">
        <is>
          <t>Identifier nommément chaque personne accédant au système et distinguer les rôles utilisateur/administrateur</t>
        </is>
      </c>
      <c r="D9" s="3" t="inlineStr">
        <is>
          <t>orange</t>
        </is>
      </c>
      <c r="E9" s="3" t="inlineStr">
        <is>
          <t>Un compte administrateur non nominatif existe pour l'ERP</t>
        </is>
      </c>
      <c r="F9" s="3" t="inlineStr">
        <is>
          <t>N04, N05</t>
        </is>
      </c>
      <c r="G9" s="3" t="inlineStr">
        <is>
          <t>5.15, 5.16</t>
        </is>
      </c>
      <c r="H9" s="3" t="inlineStr">
        <is>
          <t>ANSSI-EBIOS p. 30</t>
        </is>
      </c>
    </row>
    <row r="10">
      <c r="A10" s="3" t="n">
        <v>9</v>
      </c>
      <c r="B10" s="3" t="inlineStr">
        <is>
          <t>III. Authentifier et contrôler les accès</t>
        </is>
      </c>
      <c r="C10" s="3" t="inlineStr">
        <is>
          <t>Attribuer les bons droits sur les ressources sensibles du système d'information</t>
        </is>
      </c>
      <c r="D10" s="3" t="inlineStr">
        <is>
          <t>orange</t>
        </is>
      </c>
      <c r="E10" s="3" t="inlineStr">
        <is>
          <t>Un salarié de la R&amp;D récupère facilement les informations depuis son poste, sans supervision</t>
        </is>
      </c>
      <c r="F10" s="3" t="inlineStr">
        <is>
          <t>M07, N05, N10</t>
        </is>
      </c>
      <c r="G10" s="3" t="inlineStr">
        <is>
          <t>5.15, 5.18, 8.3</t>
        </is>
      </c>
      <c r="H10" s="3" t="inlineStr">
        <is>
          <t>ANSSI-EBIOS p. 64</t>
        </is>
      </c>
    </row>
    <row r="11">
      <c r="A11" s="3" t="n">
        <v>10</v>
      </c>
      <c r="B11" s="3" t="inlineStr">
        <is>
          <t>III. Authentifier et contrôler les accès</t>
        </is>
      </c>
      <c r="C11" s="3" t="inlineStr">
        <is>
          <t>Définir et vérifier des règles de choix et de dimensionnement des mots de passe</t>
        </is>
      </c>
      <c r="D11" s="3" t="inlineStr">
        <is>
          <t>orange</t>
        </is>
      </c>
      <c r="E11" s="3" t="inlineStr">
        <is>
          <t>Règles inscrites dans la charte informatique, non vérifiées techniquement</t>
        </is>
      </c>
      <c r="F11" s="3" t="inlineStr">
        <is>
          <t>N04</t>
        </is>
      </c>
      <c r="G11" s="3" t="inlineStr">
        <is>
          <t>5.17, 8.5</t>
        </is>
      </c>
      <c r="H11" s="3" t="inlineStr">
        <is>
          <t>Hypothèse</t>
        </is>
      </c>
    </row>
    <row r="12">
      <c r="A12" s="3" t="n">
        <v>11</v>
      </c>
      <c r="B12" s="3" t="inlineStr">
        <is>
          <t>III. Authentifier et contrôler les accès</t>
        </is>
      </c>
      <c r="C12" s="3" t="inlineStr">
        <is>
          <t>Protéger les mots de passe stockés sur les systèmes</t>
        </is>
      </c>
      <c r="D12" s="3" t="inlineStr">
        <is>
          <t>rouge</t>
        </is>
      </c>
      <c r="E12" s="3" t="inlineStr">
        <is>
          <t>Mots de passe conservés sans protection particulière sur certains systèmes</t>
        </is>
      </c>
      <c r="F12" s="3" t="inlineStr">
        <is>
          <t>N04</t>
        </is>
      </c>
      <c r="G12" s="3" t="inlineStr">
        <is>
          <t>5.17, 8.24</t>
        </is>
      </c>
      <c r="H12" s="3" t="inlineStr">
        <is>
          <t>Hypothèse</t>
        </is>
      </c>
    </row>
    <row r="13">
      <c r="A13" s="3" t="n">
        <v>12</v>
      </c>
      <c r="B13" s="3" t="inlineStr">
        <is>
          <t>III. Authentifier et contrôler les accès</t>
        </is>
      </c>
      <c r="C13" s="3" t="inlineStr">
        <is>
          <t>Changer les éléments d'authentification par défaut sur les équipements et services</t>
        </is>
      </c>
      <c r="D13" s="3" t="inlineStr">
        <is>
          <t>orange</t>
        </is>
      </c>
      <c r="E13" s="3" t="inlineStr">
        <is>
          <t>Éléments par défaut changés sur le réseau bureautique, pas sur les équipements industriels</t>
        </is>
      </c>
      <c r="F13" s="3" t="inlineStr">
        <is>
          <t>M09</t>
        </is>
      </c>
      <c r="G13" s="3" t="inlineStr">
        <is>
          <t>5.17, 8.9</t>
        </is>
      </c>
      <c r="H13" s="3" t="inlineStr">
        <is>
          <t>Hypothèse</t>
        </is>
      </c>
    </row>
    <row r="14">
      <c r="A14" s="3" t="n">
        <v>13</v>
      </c>
      <c r="B14" s="3" t="inlineStr">
        <is>
          <t>III. Authentifier et contrôler les accès</t>
        </is>
      </c>
      <c r="C14" s="3" t="inlineStr">
        <is>
          <t>Privilégier lorsque c'est possible une authentification forte</t>
        </is>
      </c>
      <c r="D14" s="3" t="inlineStr">
        <is>
          <t>rouge</t>
        </is>
      </c>
      <c r="E14" s="3" t="inlineStr">
        <is>
          <t>Aucune authentification forte, y compris pour l'administration et les accès distants</t>
        </is>
      </c>
      <c r="F14" s="3" t="inlineStr">
        <is>
          <t>N04</t>
        </is>
      </c>
      <c r="G14" s="3" t="inlineStr">
        <is>
          <t>8.5</t>
        </is>
      </c>
      <c r="H14" s="3" t="inlineStr">
        <is>
          <t>Hypothèse</t>
        </is>
      </c>
    </row>
    <row r="15">
      <c r="A15" s="3" t="n">
        <v>14</v>
      </c>
      <c r="B15" s="3" t="inlineStr">
        <is>
          <t>IV. Sécuriser les postes</t>
        </is>
      </c>
      <c r="C15" s="3" t="inlineStr">
        <is>
          <t>Mettre en place un niveau de sécurité minimal sur l'ensemble du parc informatique</t>
        </is>
      </c>
      <c r="D15" s="3" t="inlineStr">
        <is>
          <t>rouge</t>
        </is>
      </c>
      <c r="E15" s="3" t="inlineStr">
        <is>
          <t>Niveau de sécurité des postes hétérogène ; correctifs appliqués sans rigueur</t>
        </is>
      </c>
      <c r="F15" s="3" t="inlineStr">
        <is>
          <t>N02, N07</t>
        </is>
      </c>
      <c r="G15" s="3" t="inlineStr">
        <is>
          <t>8.1, 8.7, 8.9</t>
        </is>
      </c>
      <c r="H15" s="3" t="inlineStr">
        <is>
          <t>ANSSI-EBIOS p. 64</t>
        </is>
      </c>
    </row>
    <row r="16">
      <c r="A16" s="3" t="n">
        <v>15</v>
      </c>
      <c r="B16" s="3" t="inlineStr">
        <is>
          <t>IV. Sécuriser les postes</t>
        </is>
      </c>
      <c r="C16" s="3" t="inlineStr">
        <is>
          <t>Se protéger des menaces relatives à l'utilisation de supports amovibles</t>
        </is>
      </c>
      <c r="D16" s="3" t="inlineStr">
        <is>
          <t>rouge</t>
        </is>
      </c>
      <c r="E16" s="3" t="inlineStr">
        <is>
          <t>Les ports USB ne sont soumis à aucune restriction</t>
        </is>
      </c>
      <c r="F16" s="3" t="inlineStr">
        <is>
          <t>N03</t>
        </is>
      </c>
      <c r="G16" s="3" t="inlineStr">
        <is>
          <t>7.10</t>
        </is>
      </c>
      <c r="H16" s="3" t="inlineStr">
        <is>
          <t>ANSSI-EBIOS p. 64</t>
        </is>
      </c>
    </row>
    <row r="17">
      <c r="A17" s="3" t="n">
        <v>16</v>
      </c>
      <c r="B17" s="3" t="inlineStr">
        <is>
          <t>IV. Sécuriser les postes</t>
        </is>
      </c>
      <c r="C17" s="3" t="inlineStr">
        <is>
          <t>Utiliser un outil de gestion centralisée afin d'homogénéiser les politiques de sécurité</t>
        </is>
      </c>
      <c r="D17" s="3" t="inlineStr">
        <is>
          <t>orange</t>
        </is>
      </c>
      <c r="E17" s="3" t="inlineStr">
        <is>
          <t>Gestion centralisée sur une partie du parc bureautique seulement</t>
        </is>
      </c>
      <c r="F17" s="3" t="inlineStr">
        <is>
          <t>N07</t>
        </is>
      </c>
      <c r="G17" s="3" t="inlineStr">
        <is>
          <t>8.9, 8.1</t>
        </is>
      </c>
      <c r="H17" s="3" t="inlineStr">
        <is>
          <t>Hypothèse</t>
        </is>
      </c>
    </row>
    <row r="18">
      <c r="A18" s="3" t="n">
        <v>17</v>
      </c>
      <c r="B18" s="3" t="inlineStr">
        <is>
          <t>IV. Sécuriser les postes</t>
        </is>
      </c>
      <c r="C18" s="3" t="inlineStr">
        <is>
          <t>Activer et configurer le pare-feu local des postes de travail</t>
        </is>
      </c>
      <c r="D18" s="3" t="inlineStr">
        <is>
          <t>orange</t>
        </is>
      </c>
      <c r="E18" s="3" t="inlineStr">
        <is>
          <t>Pare-feu local activé avec la configuration par défaut</t>
        </is>
      </c>
      <c r="F18" s="3" t="inlineStr">
        <is>
          <t>N07</t>
        </is>
      </c>
      <c r="G18" s="3" t="inlineStr">
        <is>
          <t>8.1, 8.20</t>
        </is>
      </c>
      <c r="H18" s="3" t="inlineStr">
        <is>
          <t>Hypothèse</t>
        </is>
      </c>
    </row>
    <row r="19">
      <c r="A19" s="3" t="n">
        <v>18</v>
      </c>
      <c r="B19" s="3" t="inlineStr">
        <is>
          <t>IV. Sécuriser les postes</t>
        </is>
      </c>
      <c r="C19" s="3" t="inlineStr">
        <is>
          <t>Chiffrer les données sensibles transmises par voie Internet</t>
        </is>
      </c>
      <c r="D19" s="3" t="inlineStr">
        <is>
          <t>rouge</t>
        </is>
      </c>
      <c r="E19" s="3" t="inlineStr">
        <is>
          <t>Les échanges de données avec les laboratoires ne sont pas chiffrés</t>
        </is>
      </c>
      <c r="F19" s="3" t="inlineStr">
        <is>
          <t>M10</t>
        </is>
      </c>
      <c r="G19" s="3" t="inlineStr">
        <is>
          <t>5.14, 8.24</t>
        </is>
      </c>
      <c r="H19" s="3" t="inlineStr">
        <is>
          <t>ANSSI-EBIOS p. 77</t>
        </is>
      </c>
    </row>
    <row r="20">
      <c r="A20" s="3" t="n">
        <v>19</v>
      </c>
      <c r="B20" s="3" t="inlineStr">
        <is>
          <t>V. Sécuriser le réseau</t>
        </is>
      </c>
      <c r="C20" s="3" t="inlineStr">
        <is>
          <t>Segmenter le réseau et mettre en place un cloisonnement entre ces zones</t>
        </is>
      </c>
      <c r="D20" s="3" t="inlineStr">
        <is>
          <t>rouge</t>
        </is>
      </c>
      <c r="E20" s="3" t="inlineStr">
        <is>
          <t>Pas de cloisonnement entre les réseaux internes, dont la R&amp;D</t>
        </is>
      </c>
      <c r="F20" s="3" t="inlineStr">
        <is>
          <t>M07, M09, N01</t>
        </is>
      </c>
      <c r="G20" s="3" t="inlineStr">
        <is>
          <t>8.22</t>
        </is>
      </c>
      <c r="H20" s="3" t="inlineStr">
        <is>
          <t>ANSSI-EBIOS p. 64</t>
        </is>
      </c>
    </row>
    <row r="21">
      <c r="A21" s="3" t="n">
        <v>20</v>
      </c>
      <c r="B21" s="3" t="inlineStr">
        <is>
          <t>V. Sécuriser le réseau</t>
        </is>
      </c>
      <c r="C21" s="3" t="inlineStr">
        <is>
          <t>S'assurer de la sécurité des réseaux d'accès Wi-Fi et de la séparation des usages</t>
        </is>
      </c>
      <c r="D21" s="3" t="inlineStr">
        <is>
          <t>orange</t>
        </is>
      </c>
      <c r="E21" s="3" t="inlineStr">
        <is>
          <t>Wi-Fi invité distinct, mais chiffrement et authentification non revus</t>
        </is>
      </c>
      <c r="F21" s="3" t="inlineStr">
        <is>
          <t>N01</t>
        </is>
      </c>
      <c r="G21" s="3" t="inlineStr">
        <is>
          <t>8.20, 8.21, 8.22</t>
        </is>
      </c>
      <c r="H21" s="3" t="inlineStr">
        <is>
          <t>Hypothèse</t>
        </is>
      </c>
    </row>
    <row r="22">
      <c r="A22" s="3" t="n">
        <v>21</v>
      </c>
      <c r="B22" s="3" t="inlineStr">
        <is>
          <t>V. Sécuriser le réseau</t>
        </is>
      </c>
      <c r="C22" s="3" t="inlineStr">
        <is>
          <t>Utiliser des protocoles sécurisés dès qu'ils existent</t>
        </is>
      </c>
      <c r="D22" s="3" t="inlineStr">
        <is>
          <t>orange</t>
        </is>
      </c>
      <c r="E22" s="3" t="inlineStr">
        <is>
          <t>Protocoles en clair encore utilisés en interne</t>
        </is>
      </c>
      <c r="F22" s="3" t="inlineStr">
        <is>
          <t>M10</t>
        </is>
      </c>
      <c r="G22" s="3" t="inlineStr">
        <is>
          <t>8.21, 8.24</t>
        </is>
      </c>
      <c r="H22" s="3" t="inlineStr">
        <is>
          <t>Hypothèse</t>
        </is>
      </c>
    </row>
    <row r="23">
      <c r="A23" s="3" t="n">
        <v>22</v>
      </c>
      <c r="B23" s="3" t="inlineStr">
        <is>
          <t>V. Sécuriser le réseau</t>
        </is>
      </c>
      <c r="C23" s="3" t="inlineStr">
        <is>
          <t>Mettre en place une passerelle d'accès sécurisé à Internet</t>
        </is>
      </c>
      <c r="D23" s="3" t="inlineStr">
        <is>
          <t>orange</t>
        </is>
      </c>
      <c r="E23" s="3" t="inlineStr">
        <is>
          <t>Pare-feu de périmètre présent, sans filtrage des contenus</t>
        </is>
      </c>
      <c r="F23" s="3" t="inlineStr">
        <is>
          <t>N07</t>
        </is>
      </c>
      <c r="G23" s="3" t="inlineStr">
        <is>
          <t>8.20, 8.23</t>
        </is>
      </c>
      <c r="H23" s="3" t="inlineStr">
        <is>
          <t>Hypothèse</t>
        </is>
      </c>
    </row>
    <row r="24">
      <c r="A24" s="3" t="n">
        <v>23</v>
      </c>
      <c r="B24" s="3" t="inlineStr">
        <is>
          <t>V. Sécuriser le réseau</t>
        </is>
      </c>
      <c r="C24" s="3" t="inlineStr">
        <is>
          <t>Cloisonner les services visibles depuis Internet du reste du système d'information</t>
        </is>
      </c>
      <c r="D24" s="3" t="inlineStr">
        <is>
          <t>orange</t>
        </is>
      </c>
      <c r="E24" s="3" t="inlineStr">
        <is>
          <t>Peu de services exposés, mais sans zone démilitarisée dédiée</t>
        </is>
      </c>
      <c r="F24" s="3" t="inlineStr">
        <is>
          <t>N01</t>
        </is>
      </c>
      <c r="G24" s="3" t="inlineStr">
        <is>
          <t>8.22, 8.20</t>
        </is>
      </c>
      <c r="H24" s="3" t="inlineStr">
        <is>
          <t>Hypothèse</t>
        </is>
      </c>
    </row>
    <row r="25">
      <c r="A25" s="3" t="n">
        <v>24</v>
      </c>
      <c r="B25" s="3" t="inlineStr">
        <is>
          <t>V. Sécuriser le réseau</t>
        </is>
      </c>
      <c r="C25" s="3" t="inlineStr">
        <is>
          <t>Protéger sa messagerie professionnelle</t>
        </is>
      </c>
      <c r="D25" s="3" t="inlineStr">
        <is>
          <t>orange</t>
        </is>
      </c>
      <c r="E25" s="3" t="inlineStr">
        <is>
          <t>Filtrage antispam de base ; un hameçonnage ciblé sur la messagerie des RH est jugé faisable</t>
        </is>
      </c>
      <c r="F25" s="3" t="inlineStr">
        <is>
          <t>N07</t>
        </is>
      </c>
      <c r="G25" s="3" t="inlineStr">
        <is>
          <t>5.14, 8.7, 8.23</t>
        </is>
      </c>
      <c r="H25" s="3" t="inlineStr">
        <is>
          <t>ANSSI-EBIOS p. 64</t>
        </is>
      </c>
    </row>
    <row r="26">
      <c r="A26" s="3" t="n">
        <v>25</v>
      </c>
      <c r="B26" s="3" t="inlineStr">
        <is>
          <t>V. Sécuriser le réseau</t>
        </is>
      </c>
      <c r="C26" s="3" t="inlineStr">
        <is>
          <t>Sécuriser les interconnexions réseau dédiées avec les partenaires</t>
        </is>
      </c>
      <c r="D26" s="3" t="inlineStr">
        <is>
          <t>rouge</t>
        </is>
      </c>
      <c r="E26" s="3" t="inlineStr">
        <is>
          <t>Interconnexions avec les laboratoires et le prestataire sans filtrage ni chiffrement</t>
        </is>
      </c>
      <c r="F26" s="3" t="inlineStr">
        <is>
          <t>M06, M10</t>
        </is>
      </c>
      <c r="G26" s="3" t="inlineStr">
        <is>
          <t>5.14, 8.21, 8.20</t>
        </is>
      </c>
      <c r="H26" s="3" t="inlineStr">
        <is>
          <t>ANSSI-EBIOS p. 54, p. 77</t>
        </is>
      </c>
    </row>
    <row r="27">
      <c r="A27" s="3" t="n">
        <v>26</v>
      </c>
      <c r="B27" s="3" t="inlineStr">
        <is>
          <t>V. Sécuriser le réseau</t>
        </is>
      </c>
      <c r="C27" s="3" t="inlineStr">
        <is>
          <t>Contrôler et protéger l'accès aux salles serveurs et aux locaux techniques</t>
        </is>
      </c>
      <c r="D27" s="3" t="inlineStr">
        <is>
          <t>orange</t>
        </is>
      </c>
      <c r="E27" s="3" t="inlineStr">
        <is>
          <t>Accès aux salles serveurs par badge, sans revue des droits ; le personnel d'entretien circule librement dans les bureaux</t>
        </is>
      </c>
      <c r="F27" s="3" t="inlineStr">
        <is>
          <t>M08</t>
        </is>
      </c>
      <c r="G27" s="3" t="inlineStr">
        <is>
          <t>7.1, 7.2, 7.3</t>
        </is>
      </c>
      <c r="H27" s="3" t="inlineStr">
        <is>
          <t>ANSSI-EBIOS p. 64</t>
        </is>
      </c>
    </row>
    <row r="28">
      <c r="A28" s="3" t="n">
        <v>27</v>
      </c>
      <c r="B28" s="3" t="inlineStr">
        <is>
          <t>VI. Sécuriser l'administration</t>
        </is>
      </c>
      <c r="C28" s="3" t="inlineStr">
        <is>
          <t>Interdire l'accès à Internet depuis les postes ou serveurs utilisés pour l'administration du système d'information</t>
        </is>
      </c>
      <c r="D28" s="3" t="inlineStr">
        <is>
          <t>rouge</t>
        </is>
      </c>
      <c r="E28" s="3" t="inlineStr">
        <is>
          <t>Les administrateurs utilisent leur poste habituel, avec accès à Internet</t>
        </is>
      </c>
      <c r="F28" s="3" t="inlineStr">
        <is>
          <t>N07</t>
        </is>
      </c>
      <c r="G28" s="3" t="inlineStr">
        <is>
          <t>8.2, 8.23</t>
        </is>
      </c>
      <c r="H28" s="3" t="inlineStr">
        <is>
          <t>Hypothèse</t>
        </is>
      </c>
    </row>
    <row r="29">
      <c r="A29" s="3" t="n">
        <v>28</v>
      </c>
      <c r="B29" s="3" t="inlineStr">
        <is>
          <t>VI. Sécuriser l'administration</t>
        </is>
      </c>
      <c r="C29" s="3" t="inlineStr">
        <is>
          <t>Utiliser un réseau dédié et cloisonné pour l'administration du système d'information</t>
        </is>
      </c>
      <c r="D29" s="3" t="inlineStr">
        <is>
          <t>rouge</t>
        </is>
      </c>
      <c r="E29" s="3" t="inlineStr">
        <is>
          <t>Pas de réseau d'administration dédié</t>
        </is>
      </c>
      <c r="F29" s="3" t="inlineStr">
        <is>
          <t>M09, N01</t>
        </is>
      </c>
      <c r="G29" s="3" t="inlineStr">
        <is>
          <t>8.22, 8.2</t>
        </is>
      </c>
      <c r="H29" s="3" t="inlineStr">
        <is>
          <t>Hypothèse</t>
        </is>
      </c>
    </row>
    <row r="30">
      <c r="A30" s="3" t="n">
        <v>29</v>
      </c>
      <c r="B30" s="3" t="inlineStr">
        <is>
          <t>VI. Sécuriser l'administration</t>
        </is>
      </c>
      <c r="C30" s="3" t="inlineStr">
        <is>
          <t>Limiter au strict besoin opérationnel les droits d'administration sur les postes de travail</t>
        </is>
      </c>
      <c r="D30" s="3" t="inlineStr">
        <is>
          <t>rouge</t>
        </is>
      </c>
      <c r="E30" s="3" t="inlineStr">
        <is>
          <t>De nombreux utilisateurs disposent de droits d'administration locaux</t>
        </is>
      </c>
      <c r="F30" s="3" t="inlineStr">
        <is>
          <t>N07</t>
        </is>
      </c>
      <c r="G30" s="3" t="inlineStr">
        <is>
          <t>8.2, 8.18</t>
        </is>
      </c>
      <c r="H30" s="3" t="inlineStr">
        <is>
          <t>Hypothèse</t>
        </is>
      </c>
    </row>
    <row r="31">
      <c r="A31" s="3" t="n">
        <v>30</v>
      </c>
      <c r="B31" s="3" t="inlineStr">
        <is>
          <t>VII. Gérer le nomadisme</t>
        </is>
      </c>
      <c r="C31" s="3" t="inlineStr">
        <is>
          <t>Prendre des mesures de sécurisation physique des terminaux nomades</t>
        </is>
      </c>
      <c r="D31" s="3" t="inlineStr">
        <is>
          <t>orange</t>
        </is>
      </c>
      <c r="E31" s="3" t="inlineStr">
        <is>
          <t>Câbles antivol et consignes de base pour certains déplacements</t>
        </is>
      </c>
      <c r="F31" s="3" t="inlineStr">
        <is>
          <t>N07</t>
        </is>
      </c>
      <c r="G31" s="3" t="inlineStr">
        <is>
          <t>7.9, 7.10</t>
        </is>
      </c>
      <c r="H31" s="3" t="inlineStr">
        <is>
          <t>Hypothèse</t>
        </is>
      </c>
    </row>
    <row r="32">
      <c r="A32" s="3" t="n">
        <v>31</v>
      </c>
      <c r="B32" s="3" t="inlineStr">
        <is>
          <t>VII. Gérer le nomadisme</t>
        </is>
      </c>
      <c r="C32" s="3" t="inlineStr">
        <is>
          <t>Chiffrer les données sensibles, en particulier sur le matériel potentiellement perdable</t>
        </is>
      </c>
      <c r="D32" s="3" t="inlineStr">
        <is>
          <t>rouge</t>
        </is>
      </c>
      <c r="E32" s="3" t="inlineStr">
        <is>
          <t>Disques des portables non chiffrés</t>
        </is>
      </c>
      <c r="F32" s="3" t="inlineStr">
        <is>
          <t>N07</t>
        </is>
      </c>
      <c r="G32" s="3" t="inlineStr">
        <is>
          <t>8.24, 7.9</t>
        </is>
      </c>
      <c r="H32" s="3" t="inlineStr">
        <is>
          <t>Hypothèse</t>
        </is>
      </c>
    </row>
    <row r="33">
      <c r="A33" s="3" t="n">
        <v>32</v>
      </c>
      <c r="B33" s="3" t="inlineStr">
        <is>
          <t>VII. Gérer le nomadisme</t>
        </is>
      </c>
      <c r="C33" s="3" t="inlineStr">
        <is>
          <t>Sécuriser la connexion réseau des postes utilisés en situation de nomadisme</t>
        </is>
      </c>
      <c r="D33" s="3" t="inlineStr">
        <is>
          <t>orange</t>
        </is>
      </c>
      <c r="E33" s="3" t="inlineStr">
        <is>
          <t>Accès distant par VPN sans authentification forte</t>
        </is>
      </c>
      <c r="F33" s="3" t="inlineStr">
        <is>
          <t>N04</t>
        </is>
      </c>
      <c r="G33" s="3" t="inlineStr">
        <is>
          <t>6.7, 8.20, 8.21</t>
        </is>
      </c>
      <c r="H33" s="3" t="inlineStr">
        <is>
          <t>Hypothèse</t>
        </is>
      </c>
    </row>
    <row r="34">
      <c r="A34" s="3" t="n">
        <v>33</v>
      </c>
      <c r="B34" s="3" t="inlineStr">
        <is>
          <t>VII. Gérer le nomadisme</t>
        </is>
      </c>
      <c r="C34" s="3" t="inlineStr">
        <is>
          <t>Adopter des politiques de sécurité dédiées aux terminaux mobiles</t>
        </is>
      </c>
      <c r="D34" s="3" t="inlineStr">
        <is>
          <t>rouge</t>
        </is>
      </c>
      <c r="E34" s="3" t="inlineStr">
        <is>
          <t>Aucune politique pour les téléphones et tablettes</t>
        </is>
      </c>
      <c r="F34" s="3" t="inlineStr">
        <is>
          <t>N07</t>
        </is>
      </c>
      <c r="G34" s="3" t="inlineStr">
        <is>
          <t>8.1, 6.7</t>
        </is>
      </c>
      <c r="H34" s="3" t="inlineStr">
        <is>
          <t>Hypothèse</t>
        </is>
      </c>
    </row>
    <row r="35">
      <c r="A35" s="3" t="n">
        <v>34</v>
      </c>
      <c r="B35" s="3" t="inlineStr">
        <is>
          <t>VIII. Maintenir à jour le système d'information</t>
        </is>
      </c>
      <c r="C35" s="3" t="inlineStr">
        <is>
          <t>Définir une politique de mise à jour des composants du système d'information</t>
        </is>
      </c>
      <c r="D35" s="3" t="inlineStr">
        <is>
          <t>rouge</t>
        </is>
      </c>
      <c r="E35" s="3" t="inlineStr">
        <is>
          <t>Manque de rigueur dans l'application des correctifs de sécurité, noté à maintes reprises</t>
        </is>
      </c>
      <c r="F35" s="3" t="inlineStr">
        <is>
          <t>N02</t>
        </is>
      </c>
      <c r="G35" s="3" t="inlineStr">
        <is>
          <t>8.8, 8.19</t>
        </is>
      </c>
      <c r="H35" s="3" t="inlineStr">
        <is>
          <t>ANSSI-EBIOS p. 64</t>
        </is>
      </c>
    </row>
    <row r="36">
      <c r="A36" s="3" t="n">
        <v>35</v>
      </c>
      <c r="B36" s="3" t="inlineStr">
        <is>
          <t>VIII. Maintenir à jour le système d'information</t>
        </is>
      </c>
      <c r="C36" s="3" t="inlineStr">
        <is>
          <t>Anticiper la fin de la maintenance des logiciels et systèmes et limiter les adhérences logicielles</t>
        </is>
      </c>
      <c r="D36" s="3" t="inlineStr">
        <is>
          <t>rouge</t>
        </is>
      </c>
      <c r="E36" s="3" t="inlineStr">
        <is>
          <t>Systèmes de production anciens, fin de support non suivie</t>
        </is>
      </c>
      <c r="F36" s="3" t="inlineStr">
        <is>
          <t>M09, N02</t>
        </is>
      </c>
      <c r="G36" s="3" t="inlineStr">
        <is>
          <t>8.8, 7.13</t>
        </is>
      </c>
      <c r="H36" s="3" t="inlineStr">
        <is>
          <t>Hypothèse</t>
        </is>
      </c>
    </row>
    <row r="37">
      <c r="A37" s="3" t="n">
        <v>36</v>
      </c>
      <c r="B37" s="3" t="inlineStr">
        <is>
          <t>IX. Superviser, auditer, réagir</t>
        </is>
      </c>
      <c r="C37" s="3" t="inlineStr">
        <is>
          <t>Activer et configurer les journaux des composants les plus importants</t>
        </is>
      </c>
      <c r="D37" s="3" t="inlineStr">
        <is>
          <t>rouge</t>
        </is>
      </c>
      <c r="E37" s="3" t="inlineStr">
        <is>
          <t>Aucune supervision des actions ; journaux non centralisés</t>
        </is>
      </c>
      <c r="F37" s="3" t="inlineStr">
        <is>
          <t>M11</t>
        </is>
      </c>
      <c r="G37" s="3" t="inlineStr">
        <is>
          <t>8.15, 8.16, 8.17</t>
        </is>
      </c>
      <c r="H37" s="3" t="inlineStr">
        <is>
          <t>ANSSI-EBIOS p. 64, p. 77</t>
        </is>
      </c>
    </row>
    <row r="38">
      <c r="A38" s="3" t="n">
        <v>37</v>
      </c>
      <c r="B38" s="3" t="inlineStr">
        <is>
          <t>IX. Superviser, auditer, réagir</t>
        </is>
      </c>
      <c r="C38" s="3" t="inlineStr">
        <is>
          <t>Définir et appliquer une politique de sauvegarde des composants critiques</t>
        </is>
      </c>
      <c r="D38" s="3" t="inlineStr">
        <is>
          <t>rouge</t>
        </is>
      </c>
      <c r="E38" s="3" t="inlineStr">
        <is>
          <t>La politique de sauvegarde est en cours de rédaction par un groupe de travail</t>
        </is>
      </c>
      <c r="F38" s="3" t="inlineStr">
        <is>
          <t>M12, N06</t>
        </is>
      </c>
      <c r="G38" s="3" t="inlineStr">
        <is>
          <t>8.13</t>
        </is>
      </c>
      <c r="H38" s="3" t="inlineStr">
        <is>
          <t>ANSSI-EBIOS p. 30</t>
        </is>
      </c>
    </row>
    <row r="39">
      <c r="A39" s="3" t="n">
        <v>38</v>
      </c>
      <c r="B39" s="3" t="inlineStr">
        <is>
          <t>IX. Superviser, auditer, réagir</t>
        </is>
      </c>
      <c r="C39" s="3" t="inlineStr">
        <is>
          <t>Procéder à des contrôles et audits de sécurité réguliers puis appliquer les actions correctives associées</t>
        </is>
      </c>
      <c r="D39" s="3" t="inlineStr">
        <is>
          <t>rouge</t>
        </is>
      </c>
      <c r="E39" s="3" t="inlineStr">
        <is>
          <t>Aucun audit de sécurité technique ou organisationnel du SI bureautique</t>
        </is>
      </c>
      <c r="F39" s="3" t="inlineStr">
        <is>
          <t>M02, M05</t>
        </is>
      </c>
      <c r="G39" s="3" t="inlineStr">
        <is>
          <t>5.35, 5.36, 8.34</t>
        </is>
      </c>
      <c r="H39" s="3" t="inlineStr">
        <is>
          <t>ANSSI-EBIOS p. 77</t>
        </is>
      </c>
    </row>
    <row r="40">
      <c r="A40" s="3" t="n">
        <v>39</v>
      </c>
      <c r="B40" s="3" t="inlineStr">
        <is>
          <t>IX. Superviser, auditer, réagir</t>
        </is>
      </c>
      <c r="C40" s="3" t="inlineStr">
        <is>
          <t>Désigner un référent en sécurité des systèmes d'information et le faire connaître auprès du personnel</t>
        </is>
      </c>
      <c r="D40" s="3" t="inlineStr">
        <is>
          <t>vert</t>
        </is>
      </c>
      <c r="E40" s="3" t="inlineStr"/>
      <c r="F40" s="3" t="inlineStr">
        <is>
          <t>N09</t>
        </is>
      </c>
      <c r="G40" s="3" t="inlineStr">
        <is>
          <t>5.2</t>
        </is>
      </c>
      <c r="H40" s="3" t="inlineStr">
        <is>
          <t>ANSSI-EBIOS p. 77 (un RSSI existe)</t>
        </is>
      </c>
    </row>
    <row r="41">
      <c r="A41" s="3" t="n">
        <v>40</v>
      </c>
      <c r="B41" s="3" t="inlineStr">
        <is>
          <t>IX. Superviser, auditer, réagir</t>
        </is>
      </c>
      <c r="C41" s="3" t="inlineStr">
        <is>
          <t>Définir une procédure de gestion des incidents de sécurité</t>
        </is>
      </c>
      <c r="D41" s="3" t="inlineStr">
        <is>
          <t>rouge</t>
        </is>
      </c>
      <c r="E41" s="3" t="inlineStr">
        <is>
          <t>Pas de procédure formalisée de gestion des incidents</t>
        </is>
      </c>
      <c r="F41" s="3" t="inlineStr">
        <is>
          <t>M04, N08</t>
        </is>
      </c>
      <c r="G41" s="3" t="inlineStr">
        <is>
          <t>5.24, 5.25, 5.26, 5.27, 6.8</t>
        </is>
      </c>
      <c r="H41" s="3" t="inlineStr">
        <is>
          <t>Hypothèse</t>
        </is>
      </c>
    </row>
    <row r="42">
      <c r="A42" s="3" t="n">
        <v>41</v>
      </c>
      <c r="B42" s="3" t="inlineStr">
        <is>
          <t>X. Pour aller plus loin</t>
        </is>
      </c>
      <c r="C42" s="3" t="inlineStr">
        <is>
          <t>Mener une analyse de risques formelle</t>
        </is>
      </c>
      <c r="D42" s="3" t="inlineStr">
        <is>
          <t>orange</t>
        </is>
      </c>
      <c r="E42" s="3" t="inlineStr">
        <is>
          <t>Analyse EBIOS RM en cours (ce projet) ; cycle stratégique et cycle opérationnel à installer</t>
        </is>
      </c>
      <c r="F42" s="3" t="inlineStr">
        <is>
          <t>N09</t>
        </is>
      </c>
      <c r="G42" s="3" t="inlineStr"/>
      <c r="H42" s="3" t="inlineStr">
        <is>
          <t>Original</t>
        </is>
      </c>
    </row>
    <row r="43">
      <c r="A43" s="3" t="n">
        <v>42</v>
      </c>
      <c r="B43" s="3" t="inlineStr">
        <is>
          <t>X. Pour aller plus loin</t>
        </is>
      </c>
      <c r="C43" s="3" t="inlineStr">
        <is>
          <t>Privilégier l'usage de produits et de services qualifiés par l'ANSSI</t>
        </is>
      </c>
      <c r="D43" s="3" t="inlineStr">
        <is>
          <t>orange</t>
        </is>
      </c>
      <c r="E43" s="3" t="inlineStr">
        <is>
          <t>Un audit par un prestataire qualifié (PASSI) est prévu, pas d'autre usage de produits qualifiés</t>
        </is>
      </c>
      <c r="F43" s="3" t="inlineStr">
        <is>
          <t>M02</t>
        </is>
      </c>
      <c r="G43" s="3" t="inlineStr">
        <is>
          <t>5.21, 5.23</t>
        </is>
      </c>
      <c r="H43" s="3" t="inlineStr">
        <is>
          <t>ANSSI-EBIOS p. 77</t>
        </is>
      </c>
    </row>
  </sheetData>
  <autoFilter ref="A1:H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90" customWidth="1" min="3" max="3"/>
    <col width="10" customWidth="1" min="4" max="4"/>
    <col width="10" customWidth="1" min="5" max="5"/>
  </cols>
  <sheetData>
    <row r="1">
      <c r="A1" s="2" t="inlineStr">
        <is>
          <t>Réf.</t>
        </is>
      </c>
      <c r="B1" s="2" t="inlineStr">
        <is>
          <t>Valeur métier</t>
        </is>
      </c>
      <c r="C1" s="2" t="inlineStr">
        <is>
          <t>Événement redouté</t>
        </is>
      </c>
      <c r="D1" s="2" t="inlineStr">
        <is>
          <t>Gravité</t>
        </is>
      </c>
      <c r="E1" s="2" t="inlineStr">
        <is>
          <t>Source</t>
        </is>
      </c>
    </row>
    <row r="2">
      <c r="A2" s="3" t="inlineStr">
        <is>
          <t>ER1</t>
        </is>
      </c>
      <c r="B2" s="3" t="inlineStr">
        <is>
          <t>VM1</t>
        </is>
      </c>
      <c r="C2" s="3" t="inlineStr">
        <is>
          <t>Perte ou destruction des informations d'études et recherches, avec fort impact sur les futures autorisations de mise sur le marché</t>
        </is>
      </c>
      <c r="D2" s="3" t="n">
        <v>3</v>
      </c>
      <c r="E2" s="3" t="inlineStr">
        <is>
          <t>ANSSI-EBIOS p. 27</t>
        </is>
      </c>
    </row>
    <row r="3">
      <c r="A3" s="3" t="inlineStr">
        <is>
          <t>ER2</t>
        </is>
      </c>
      <c r="B3" s="3" t="inlineStr">
        <is>
          <t>VM1</t>
        </is>
      </c>
      <c r="C3" s="3" t="inlineStr">
        <is>
          <t>Altération des informations d'études et recherches aboutissant à une formule de vaccin erronée</t>
        </is>
      </c>
      <c r="D3" s="3" t="n">
        <v>3</v>
      </c>
      <c r="E3" s="3" t="inlineStr">
        <is>
          <t>ANSSI-EBIOS p. 27</t>
        </is>
      </c>
    </row>
    <row r="4">
      <c r="A4" s="3" t="inlineStr">
        <is>
          <t>ER3</t>
        </is>
      </c>
      <c r="B4" s="3" t="inlineStr">
        <is>
          <t>VM1</t>
        </is>
      </c>
      <c r="C4" s="3" t="inlineStr">
        <is>
          <t>Fuite des informations d'études et recherches de l'entreprise</t>
        </is>
      </c>
      <c r="D4" s="3" t="n">
        <v>3</v>
      </c>
      <c r="E4" s="3" t="inlineStr">
        <is>
          <t>ANSSI-EBIOS p. 27</t>
        </is>
      </c>
    </row>
    <row r="5">
      <c r="A5" s="3" t="inlineStr">
        <is>
          <t>ER4</t>
        </is>
      </c>
      <c r="B5" s="3" t="inlineStr">
        <is>
          <t>VM1</t>
        </is>
      </c>
      <c r="C5" s="3" t="inlineStr">
        <is>
          <t>Interruption des phases de tests des vaccins pendant plus d'une semaine</t>
        </is>
      </c>
      <c r="D5" s="3" t="n">
        <v>2</v>
      </c>
      <c r="E5" s="3" t="inlineStr">
        <is>
          <t>ANSSI-EBIOS p. 27</t>
        </is>
      </c>
    </row>
    <row r="6">
      <c r="A6" s="3" t="inlineStr">
        <is>
          <t>ER5</t>
        </is>
      </c>
      <c r="B6" s="3" t="inlineStr">
        <is>
          <t>VM2</t>
        </is>
      </c>
      <c r="C6" s="3" t="inlineStr">
        <is>
          <t>Fuite du savoir-faire concernant le processus de fabrication et les tests qualité</t>
        </is>
      </c>
      <c r="D6" s="3" t="n">
        <v>2</v>
      </c>
      <c r="E6" s="3" t="inlineStr">
        <is>
          <t>ANSSI-EBIOS p. 27</t>
        </is>
      </c>
    </row>
    <row r="7">
      <c r="A7" s="3" t="inlineStr">
        <is>
          <t>ER6</t>
        </is>
      </c>
      <c r="B7" s="3" t="inlineStr">
        <is>
          <t>VM2</t>
        </is>
      </c>
      <c r="C7" s="3" t="inlineStr">
        <is>
          <t>Interruption de la production ou de la distribution de vaccins pendant plus d'une semaine pendant un pic d'épidémie</t>
        </is>
      </c>
      <c r="D7" s="3" t="n">
        <v>4</v>
      </c>
      <c r="E7" s="3" t="inlineStr">
        <is>
          <t>ANSSI-EBIOS p. 27</t>
        </is>
      </c>
    </row>
    <row r="8">
      <c r="A8" s="3" t="inlineStr">
        <is>
          <t>ER7</t>
        </is>
      </c>
      <c r="B8" s="3" t="inlineStr">
        <is>
          <t>VM3</t>
        </is>
      </c>
      <c r="C8" s="3" t="inlineStr">
        <is>
          <t>Altération des résultats des contrôles qualité aboutissant à une non-conformité sanitaire</t>
        </is>
      </c>
      <c r="D8" s="3" t="n">
        <v>4</v>
      </c>
      <c r="E8" s="3" t="inlineStr">
        <is>
          <t>ANSSI-EBIOS p. 27</t>
        </is>
      </c>
    </row>
    <row r="9">
      <c r="A9" s="3" t="inlineStr">
        <is>
          <t>ER8</t>
        </is>
      </c>
      <c r="B9" s="3" t="inlineStr">
        <is>
          <t>VM3</t>
        </is>
      </c>
      <c r="C9" s="3" t="inlineStr">
        <is>
          <t>Indisponibilité prolongée des données de traçabilité et de contrôle, qui bloque la libération des lots</t>
        </is>
      </c>
      <c r="D9" s="3" t="n">
        <v>3</v>
      </c>
      <c r="E9" s="3" t="inlineStr">
        <is>
          <t>Original</t>
        </is>
      </c>
    </row>
    <row r="10">
      <c r="A10" s="3" t="inlineStr">
        <is>
          <t>ER9</t>
        </is>
      </c>
      <c r="B10" s="3" t="inlineStr">
        <is>
          <t>VM1</t>
        </is>
      </c>
      <c r="C10" s="3" t="inlineStr">
        <is>
          <t>Divulgation de données personnelles liées aux essais cliniques ou aux salariés</t>
        </is>
      </c>
      <c r="D10" s="3" t="n">
        <v>3</v>
      </c>
      <c r="E10" s="3" t="inlineStr">
        <is>
          <t>Original</t>
        </is>
      </c>
    </row>
  </sheetData>
  <autoFilter ref="A1:E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60" customWidth="1" min="3" max="3"/>
    <col width="12" customWidth="1" min="4" max="4"/>
    <col width="12" customWidth="1" min="5" max="5"/>
    <col width="10" customWidth="1" min="6" max="6"/>
    <col width="12" customWidth="1" min="7" max="7"/>
    <col width="10" customWidth="1" min="8" max="8"/>
    <col width="10" customWidth="1" min="9" max="9"/>
    <col width="60" customWidth="1" min="10" max="10"/>
    <col width="10" customWidth="1" min="11" max="11"/>
  </cols>
  <sheetData>
    <row r="1">
      <c r="A1" s="2" t="inlineStr">
        <is>
          <t>Réf.</t>
        </is>
      </c>
      <c r="B1" s="2" t="inlineStr">
        <is>
          <t>Source de risque</t>
        </is>
      </c>
      <c r="C1" s="2" t="inlineStr">
        <is>
          <t>Objectif visé</t>
        </is>
      </c>
      <c r="D1" s="2" t="inlineStr">
        <is>
          <t>Motivation</t>
        </is>
      </c>
      <c r="E1" s="2" t="inlineStr">
        <is>
          <t>Ressources</t>
        </is>
      </c>
      <c r="F1" s="2" t="inlineStr">
        <is>
          <t>Activité</t>
        </is>
      </c>
      <c r="G1" s="2" t="inlineStr">
        <is>
          <t>Pertinence</t>
        </is>
      </c>
      <c r="H1" s="2" t="inlineStr">
        <is>
          <t>Retenu</t>
        </is>
      </c>
      <c r="I1" s="2" t="inlineStr">
        <is>
          <t>ER</t>
        </is>
      </c>
      <c r="J1" s="2" t="inlineStr">
        <is>
          <t>Justification</t>
        </is>
      </c>
      <c r="K1" s="2" t="inlineStr">
        <is>
          <t>Source</t>
        </is>
      </c>
    </row>
    <row r="2">
      <c r="A2" s="3" t="inlineStr">
        <is>
          <t>SO1</t>
        </is>
      </c>
      <c r="B2" s="3" t="inlineStr">
        <is>
          <t>Activiste</t>
        </is>
      </c>
      <c r="C2" s="3" t="inlineStr">
        <is>
          <t>Saboter la prochaine campagne nationale de vaccination en perturbant la production ou la distribution des vaccins, pour générer un choc psychologique et discréditer les pouvoirs publics</t>
        </is>
      </c>
      <c r="D2" s="3" t="inlineStr">
        <is>
          <t>Significative</t>
        </is>
      </c>
      <c r="E2" s="3" t="inlineStr">
        <is>
          <t>Modérée</t>
        </is>
      </c>
      <c r="F2" s="3" t="inlineStr">
        <is>
          <t>Modérée</t>
        </is>
      </c>
      <c r="G2" s="3" t="inlineStr">
        <is>
          <t>Moyenne</t>
        </is>
      </c>
      <c r="H2" s="3" t="inlineStr">
        <is>
          <t>oui</t>
        </is>
      </c>
      <c r="I2" s="3" t="inlineStr">
        <is>
          <t>ER6</t>
        </is>
      </c>
      <c r="J2" s="3" t="inlineStr">
        <is>
          <t>Regain d'activité médiatique de groupes anti-vaccins lors de la campagne de vaccination antigrippale (p. 40)</t>
        </is>
      </c>
      <c r="K2" s="3" t="inlineStr">
        <is>
          <t>ANSSI-EBIOS p. 39</t>
        </is>
      </c>
    </row>
    <row r="3">
      <c r="A3" s="3" t="inlineStr">
        <is>
          <t>SO2</t>
        </is>
      </c>
      <c r="B3" s="3" t="inlineStr">
        <is>
          <t>Concurrent</t>
        </is>
      </c>
      <c r="C3" s="3" t="inlineStr">
        <is>
          <t>Voler des informations en espionnant les travaux de R&amp;D en vue d'obtenir un avantage concurrentiel</t>
        </is>
      </c>
      <c r="D3" s="3" t="inlineStr">
        <is>
          <t>Importante</t>
        </is>
      </c>
      <c r="E3" s="3" t="inlineStr">
        <is>
          <t>Significative</t>
        </is>
      </c>
      <c r="F3" s="3" t="inlineStr">
        <is>
          <t>Importante</t>
        </is>
      </c>
      <c r="G3" s="3" t="inlineStr">
        <is>
          <t>Élevée</t>
        </is>
      </c>
      <c r="H3" s="3" t="inlineStr">
        <is>
          <t>oui</t>
        </is>
      </c>
      <c r="I3" s="3" t="inlineStr">
        <is>
          <t>ER3</t>
        </is>
      </c>
      <c r="J3" s="3" t="inlineStr">
        <is>
          <t>Publication annonçant l'aboutissement imminent d'un vaccin sur lequel les concurrents sont en compétition acharnée (p. 40)</t>
        </is>
      </c>
      <c r="K3" s="3" t="inlineStr">
        <is>
          <t>ANSSI-EBIOS p. 39</t>
        </is>
      </c>
    </row>
    <row r="4">
      <c r="A4" s="3" t="inlineStr">
        <is>
          <t>SO3</t>
        </is>
      </c>
      <c r="B4" s="3" t="inlineStr">
        <is>
          <t>Activiste</t>
        </is>
      </c>
      <c r="C4" s="3" t="inlineStr">
        <is>
          <t>Divulguer au grand public des informations sur la conception des vaccins (photos et vidéos des tests animaliers)</t>
        </is>
      </c>
      <c r="D4" s="3" t="inlineStr">
        <is>
          <t>Modérée</t>
        </is>
      </c>
      <c r="E4" s="3" t="inlineStr">
        <is>
          <t>Faible</t>
        </is>
      </c>
      <c r="F4" s="3" t="inlineStr">
        <is>
          <t>Faible</t>
        </is>
      </c>
      <c r="G4" s="3" t="inlineStr">
        <is>
          <t>Faible</t>
        </is>
      </c>
      <c r="H4" s="3" t="inlineStr">
        <is>
          <t>non</t>
        </is>
      </c>
      <c r="I4" s="3" t="inlineStr">
        <is>
          <t>ER3</t>
        </is>
      </c>
      <c r="J4" s="3" t="inlineStr">
        <is>
          <t>Deux intrusions d'activistes dans des abattoirs dans l'année, aucune dans un laboratoire (p. 40). Écarté au premier cycle, à surveiller</t>
        </is>
      </c>
      <c r="K4" s="3" t="inlineStr">
        <is>
          <t>ANSSI-EBIOS p. 39</t>
        </is>
      </c>
    </row>
    <row r="5">
      <c r="A5" s="3" t="inlineStr">
        <is>
          <t>SO4</t>
        </is>
      </c>
      <c r="B5" s="3" t="inlineStr">
        <is>
          <t>Cybercriminel</t>
        </is>
      </c>
      <c r="C5" s="3" t="inlineStr">
        <is>
          <t>Menace d'altération de la composition des vaccins distribués lors d'une campagne, sous couvert de bioterrorisme, à des fins d'extorsion</t>
        </is>
      </c>
      <c r="D5" s="3" t="inlineStr">
        <is>
          <t>Modérée</t>
        </is>
      </c>
      <c r="E5" s="3" t="inlineStr">
        <is>
          <t>Modérée</t>
        </is>
      </c>
      <c r="F5" s="3" t="inlineStr">
        <is>
          <t>Faible</t>
        </is>
      </c>
      <c r="G5" s="3" t="inlineStr">
        <is>
          <t>Faible</t>
        </is>
      </c>
      <c r="H5" s="3" t="inlineStr">
        <is>
          <t>non</t>
        </is>
      </c>
      <c r="I5" s="3" t="inlineStr">
        <is>
          <t>ER7</t>
        </is>
      </c>
      <c r="J5" s="3" t="inlineStr">
        <is>
          <t>Hausse des rançongiciels mais peu de cas avérés sur un système industriel (p. 40). Écarté au premier cycle ; la direction le met sous surveillance (p. 81)</t>
        </is>
      </c>
      <c r="K5" s="3" t="inlineStr">
        <is>
          <t>ANSSI-EBIOS p. 39</t>
        </is>
      </c>
    </row>
    <row r="6">
      <c r="A6" s="3" t="inlineStr">
        <is>
          <t>SO5</t>
        </is>
      </c>
      <c r="B6" s="3" t="inlineStr">
        <is>
          <t>Cybercriminel</t>
        </is>
      </c>
      <c r="C6" s="3" t="inlineStr">
        <is>
          <t>Chiffrer les systèmes de l'entreprise (rançongiciel) pour paralyser la production et obtenir une rançon</t>
        </is>
      </c>
      <c r="D6" s="3" t="inlineStr">
        <is>
          <t>Importante</t>
        </is>
      </c>
      <c r="E6" s="3" t="inlineStr">
        <is>
          <t>Significative</t>
        </is>
      </c>
      <c r="F6" s="3" t="inlineStr">
        <is>
          <t>Importante</t>
        </is>
      </c>
      <c r="G6" s="3" t="inlineStr">
        <is>
          <t>Élevée</t>
        </is>
      </c>
      <c r="H6" s="3" t="inlineStr">
        <is>
          <t>oui</t>
        </is>
      </c>
      <c r="I6" s="3" t="inlineStr">
        <is>
          <t>ER6</t>
        </is>
      </c>
      <c r="J6" s="3" t="inlineStr">
        <is>
          <t>Objectif purement financier, attaque opportuniste et industrialisée, qui n'exige aucune connaissance du vaccin. Le socle de sécurité est faible (une seule règle du Guide d'hygiène est pleinement appliquée) et la direction juge la menace cybercriminelle préoccupante (p. 81)</t>
        </is>
      </c>
      <c r="K6" s="3" t="inlineStr">
        <is>
          <t>Original</t>
        </is>
      </c>
    </row>
  </sheetData>
  <autoFilter ref="A1:K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 customWidth="1" min="3" max="3"/>
    <col width="12" customWidth="1" min="4" max="4"/>
    <col width="13" customWidth="1" min="5" max="5"/>
    <col width="10" customWidth="1" min="6" max="6"/>
    <col width="11" customWidth="1" min="7" max="7"/>
    <col width="13" customWidth="1" min="8" max="8"/>
    <col width="10" customWidth="1" min="9" max="9"/>
    <col width="19" customWidth="1" min="10" max="10"/>
    <col width="16" customWidth="1" min="11" max="11"/>
    <col width="19" customWidth="1" min="12" max="12"/>
    <col width="40" customWidth="1" min="13" max="13"/>
  </cols>
  <sheetData>
    <row r="1">
      <c r="A1" s="2" t="inlineStr">
        <is>
          <t>Réf.</t>
        </is>
      </c>
      <c r="B1" s="2" t="inlineStr">
        <is>
          <t>Nom</t>
        </is>
      </c>
      <c r="C1" s="2" t="inlineStr">
        <is>
          <t>Catégorie</t>
        </is>
      </c>
      <c r="D1" s="2" t="inlineStr">
        <is>
          <t>Dépendance</t>
        </is>
      </c>
      <c r="E1" s="2" t="inlineStr">
        <is>
          <t>Pénétration</t>
        </is>
      </c>
      <c r="F1" s="2" t="inlineStr">
        <is>
          <t>Maturité</t>
        </is>
      </c>
      <c r="G1" s="2" t="inlineStr">
        <is>
          <t>Confiance</t>
        </is>
      </c>
      <c r="H1" s="2" t="inlineStr">
        <is>
          <t>Dangerosité</t>
        </is>
      </c>
      <c r="I1" s="2" t="inlineStr">
        <is>
          <t>Critique</t>
        </is>
      </c>
      <c r="J1" s="2" t="inlineStr">
        <is>
          <t>Pénétration après</t>
        </is>
      </c>
      <c r="K1" s="2" t="inlineStr">
        <is>
          <t>Maturité après</t>
        </is>
      </c>
      <c r="L1" s="2" t="inlineStr">
        <is>
          <t>Dangerosité après</t>
        </is>
      </c>
      <c r="M1" s="2" t="inlineStr">
        <is>
          <t>Source</t>
        </is>
      </c>
    </row>
    <row r="2">
      <c r="A2" s="3" t="inlineStr">
        <is>
          <t>C1</t>
        </is>
      </c>
      <c r="B2" s="3" t="inlineStr">
        <is>
          <t>Établissements de santé</t>
        </is>
      </c>
      <c r="C2" s="3" t="inlineStr">
        <is>
          <t>Client</t>
        </is>
      </c>
      <c r="D2" s="3" t="n">
        <v>2</v>
      </c>
      <c r="E2" s="3" t="n">
        <v>1</v>
      </c>
      <c r="F2" s="3" t="n">
        <v>3</v>
      </c>
      <c r="G2" s="3" t="n">
        <v>3</v>
      </c>
      <c r="H2" s="3">
        <f>ROUND(D2*E2/(F2*G2),2)</f>
        <v/>
      </c>
      <c r="I2" s="3" t="inlineStr">
        <is>
          <t>non</t>
        </is>
      </c>
      <c r="J2" s="3" t="n">
        <v>1</v>
      </c>
      <c r="K2" s="3" t="n">
        <v>3</v>
      </c>
      <c r="L2" s="3">
        <f>ROUND(D2*J2/(K2*G2),2)</f>
        <v/>
      </c>
      <c r="M2" s="3" t="inlineStr">
        <is>
          <t>ANSSI-EBIOS p. 46 (liste), Hypothèse (cotation)</t>
        </is>
      </c>
    </row>
    <row r="3">
      <c r="A3" s="3" t="inlineStr">
        <is>
          <t>C2</t>
        </is>
      </c>
      <c r="B3" s="3" t="inlineStr">
        <is>
          <t>Pharmacies</t>
        </is>
      </c>
      <c r="C3" s="3" t="inlineStr">
        <is>
          <t>Client</t>
        </is>
      </c>
      <c r="D3" s="3" t="n">
        <v>1</v>
      </c>
      <c r="E3" s="3" t="n">
        <v>1</v>
      </c>
      <c r="F3" s="3" t="n">
        <v>2</v>
      </c>
      <c r="G3" s="3" t="n">
        <v>3</v>
      </c>
      <c r="H3" s="3">
        <f>ROUND(D3*E3/(F3*G3),2)</f>
        <v/>
      </c>
      <c r="I3" s="3" t="inlineStr">
        <is>
          <t>non</t>
        </is>
      </c>
      <c r="J3" s="3" t="n">
        <v>1</v>
      </c>
      <c r="K3" s="3" t="n">
        <v>2</v>
      </c>
      <c r="L3" s="3">
        <f>ROUND(D3*J3/(K3*G3),2)</f>
        <v/>
      </c>
      <c r="M3" s="3" t="inlineStr">
        <is>
          <t>ANSSI-EBIOS p. 46 (liste), Hypothèse (cotation)</t>
        </is>
      </c>
    </row>
    <row r="4">
      <c r="A4" s="3" t="inlineStr">
        <is>
          <t>C3</t>
        </is>
      </c>
      <c r="B4" s="3" t="inlineStr">
        <is>
          <t>Dépositaires et grossistes répartiteurs</t>
        </is>
      </c>
      <c r="C4" s="3" t="inlineStr">
        <is>
          <t>Client</t>
        </is>
      </c>
      <c r="D4" s="3" t="n">
        <v>2</v>
      </c>
      <c r="E4" s="3" t="n">
        <v>2</v>
      </c>
      <c r="F4" s="3" t="n">
        <v>3</v>
      </c>
      <c r="G4" s="3" t="n">
        <v>3</v>
      </c>
      <c r="H4" s="3">
        <f>ROUND(D4*E4/(F4*G4),2)</f>
        <v/>
      </c>
      <c r="I4" s="3" t="inlineStr">
        <is>
          <t>non</t>
        </is>
      </c>
      <c r="J4" s="3" t="n">
        <v>2</v>
      </c>
      <c r="K4" s="3" t="n">
        <v>3</v>
      </c>
      <c r="L4" s="3">
        <f>ROUND(D4*J4/(K4*G4),2)</f>
        <v/>
      </c>
      <c r="M4" s="3" t="inlineStr">
        <is>
          <t>ANSSI-EBIOS p. 46 (liste), Hypothèse (cotation)</t>
        </is>
      </c>
    </row>
    <row r="5">
      <c r="A5" s="3" t="inlineStr">
        <is>
          <t>P1</t>
        </is>
      </c>
      <c r="B5" s="3" t="inlineStr">
        <is>
          <t>Universités</t>
        </is>
      </c>
      <c r="C5" s="3" t="inlineStr">
        <is>
          <t>Partenaire</t>
        </is>
      </c>
      <c r="D5" s="3" t="n">
        <v>2</v>
      </c>
      <c r="E5" s="3" t="n">
        <v>2</v>
      </c>
      <c r="F5" s="3" t="n">
        <v>2</v>
      </c>
      <c r="G5" s="3" t="n">
        <v>2</v>
      </c>
      <c r="H5" s="3">
        <f>ROUND(D5*E5/(F5*G5),2)</f>
        <v/>
      </c>
      <c r="I5" s="3" t="inlineStr">
        <is>
          <t>non</t>
        </is>
      </c>
      <c r="J5" s="3" t="n">
        <v>2</v>
      </c>
      <c r="K5" s="3" t="n">
        <v>2</v>
      </c>
      <c r="L5" s="3">
        <f>ROUND(D5*J5/(K5*G5),2)</f>
        <v/>
      </c>
      <c r="M5" s="3" t="inlineStr">
        <is>
          <t>ANSSI-EBIOS p. 47, Hypothèse (cotation)</t>
        </is>
      </c>
    </row>
    <row r="6">
      <c r="A6" s="3" t="inlineStr">
        <is>
          <t>P2</t>
        </is>
      </c>
      <c r="B6" s="3" t="inlineStr">
        <is>
          <t>Régulateurs</t>
        </is>
      </c>
      <c r="C6" s="3" t="inlineStr">
        <is>
          <t>Partenaire</t>
        </is>
      </c>
      <c r="D6" s="3" t="n">
        <v>3</v>
      </c>
      <c r="E6" s="3" t="n">
        <v>2</v>
      </c>
      <c r="F6" s="3" t="n">
        <v>4</v>
      </c>
      <c r="G6" s="3" t="n">
        <v>4</v>
      </c>
      <c r="H6" s="3">
        <f>ROUND(D6*E6/(F6*G6),2)</f>
        <v/>
      </c>
      <c r="I6" s="3" t="inlineStr">
        <is>
          <t>non</t>
        </is>
      </c>
      <c r="J6" s="3" t="n">
        <v>2</v>
      </c>
      <c r="K6" s="3" t="n">
        <v>4</v>
      </c>
      <c r="L6" s="3">
        <f>ROUND(D6*J6/(K6*G6),2)</f>
        <v/>
      </c>
      <c r="M6" s="3" t="inlineStr">
        <is>
          <t>ANSSI-EBIOS p. 46 (liste), Hypothèse (cotation)</t>
        </is>
      </c>
    </row>
    <row r="7">
      <c r="A7" s="3" t="inlineStr">
        <is>
          <t>P3</t>
        </is>
      </c>
      <c r="B7" s="3" t="inlineStr">
        <is>
          <t>Laboratoires</t>
        </is>
      </c>
      <c r="C7" s="3" t="inlineStr">
        <is>
          <t>Partenaire</t>
        </is>
      </c>
      <c r="D7" s="3" t="n">
        <v>3</v>
      </c>
      <c r="E7" s="3" t="n">
        <v>3</v>
      </c>
      <c r="F7" s="3" t="n">
        <v>2</v>
      </c>
      <c r="G7" s="3" t="n">
        <v>2</v>
      </c>
      <c r="H7" s="3">
        <f>ROUND(D7*E7/(F7*G7),2)</f>
        <v/>
      </c>
      <c r="I7" s="3" t="inlineStr">
        <is>
          <t>oui</t>
        </is>
      </c>
      <c r="J7" s="3" t="n">
        <v>2</v>
      </c>
      <c r="K7" s="3" t="n">
        <v>2</v>
      </c>
      <c r="L7" s="3">
        <f>ROUND(D7*J7/(K7*G7),2)</f>
        <v/>
      </c>
      <c r="M7" s="3" t="inlineStr">
        <is>
          <t>ANSSI-EBIOS p. 47, p. 54 (2,25 puis 1,5)</t>
        </is>
      </c>
    </row>
    <row r="8">
      <c r="A8" s="3" t="inlineStr">
        <is>
          <t>F1</t>
        </is>
      </c>
      <c r="B8" s="3" t="inlineStr">
        <is>
          <t>Fournisseurs industriels chimistes</t>
        </is>
      </c>
      <c r="C8" s="3" t="inlineStr">
        <is>
          <t>Prestataire</t>
        </is>
      </c>
      <c r="D8" s="3" t="n">
        <v>3</v>
      </c>
      <c r="E8" s="3" t="n">
        <v>2</v>
      </c>
      <c r="F8" s="3" t="n">
        <v>3</v>
      </c>
      <c r="G8" s="3" t="n">
        <v>2</v>
      </c>
      <c r="H8" s="3">
        <f>ROUND(D8*E8/(F8*G8),2)</f>
        <v/>
      </c>
      <c r="I8" s="3" t="inlineStr">
        <is>
          <t>non</t>
        </is>
      </c>
      <c r="J8" s="3" t="n">
        <v>2</v>
      </c>
      <c r="K8" s="3" t="n">
        <v>3</v>
      </c>
      <c r="L8" s="3">
        <f>ROUND(D8*J8/(K8*G8),2)</f>
        <v/>
      </c>
      <c r="M8" s="3" t="inlineStr">
        <is>
          <t>ANSSI-EBIOS p. 47, Hypothèse (cotation)</t>
        </is>
      </c>
    </row>
    <row r="9">
      <c r="A9" s="3" t="inlineStr">
        <is>
          <t>F2</t>
        </is>
      </c>
      <c r="B9" s="3" t="inlineStr">
        <is>
          <t>Fournisseurs de matériel de production</t>
        </is>
      </c>
      <c r="C9" s="3" t="inlineStr">
        <is>
          <t>Prestataire</t>
        </is>
      </c>
      <c r="D9" s="3" t="n">
        <v>2</v>
      </c>
      <c r="E9" s="3" t="n">
        <v>3</v>
      </c>
      <c r="F9" s="3" t="n">
        <v>1</v>
      </c>
      <c r="G9" s="3" t="n">
        <v>3</v>
      </c>
      <c r="H9" s="3">
        <f>ROUND(D9*E9/(F9*G9),2)</f>
        <v/>
      </c>
      <c r="I9" s="3" t="inlineStr">
        <is>
          <t>oui</t>
        </is>
      </c>
      <c r="J9" s="3" t="n">
        <v>2</v>
      </c>
      <c r="K9" s="3" t="n">
        <v>1</v>
      </c>
      <c r="L9" s="3">
        <f>ROUND(D9*J9/(K9*G9),2)</f>
        <v/>
      </c>
      <c r="M9" s="3" t="inlineStr">
        <is>
          <t>ANSSI-EBIOS p. 47, p. 54 (2 puis 1,3)</t>
        </is>
      </c>
    </row>
    <row r="10">
      <c r="A10" s="3" t="inlineStr">
        <is>
          <t>F3</t>
        </is>
      </c>
      <c r="B10" s="3" t="inlineStr">
        <is>
          <t>Prestataire informatique</t>
        </is>
      </c>
      <c r="C10" s="3" t="inlineStr">
        <is>
          <t>Prestataire</t>
        </is>
      </c>
      <c r="D10" s="3" t="n">
        <v>3</v>
      </c>
      <c r="E10" s="3" t="n">
        <v>4</v>
      </c>
      <c r="F10" s="3" t="n">
        <v>2</v>
      </c>
      <c r="G10" s="3" t="n">
        <v>2</v>
      </c>
      <c r="H10" s="3">
        <f>ROUND(D10*E10/(F10*G10),2)</f>
        <v/>
      </c>
      <c r="I10" s="3" t="inlineStr">
        <is>
          <t>oui</t>
        </is>
      </c>
      <c r="J10" s="3" t="n">
        <v>4</v>
      </c>
      <c r="K10" s="3" t="n">
        <v>3</v>
      </c>
      <c r="L10" s="3">
        <f>ROUND(D10*J10/(K10*G10),2)</f>
        <v/>
      </c>
      <c r="M10" s="3" t="inlineStr">
        <is>
          <t>ANSSI-EBIOS p. 47, p. 54 (3 puis 2)</t>
        </is>
      </c>
    </row>
  </sheetData>
  <autoFilter ref="A1:M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2" customWidth="1" min="11" max="11"/>
    <col width="13" customWidth="1" min="12" max="12"/>
    <col width="40" customWidth="1" min="13" max="13"/>
    <col width="70" customWidth="1" min="14" max="14"/>
    <col width="10" customWidth="1" min="15" max="15"/>
  </cols>
  <sheetData>
    <row r="1">
      <c r="A1" s="2" t="inlineStr">
        <is>
          <t>Réf.</t>
        </is>
      </c>
      <c r="B1" s="2" t="inlineStr">
        <is>
          <t>Scénario de risque</t>
        </is>
      </c>
      <c r="C1" s="2" t="inlineStr">
        <is>
          <t>Chemin</t>
        </is>
      </c>
      <c r="D1" s="2" t="inlineStr">
        <is>
          <t>ER</t>
        </is>
      </c>
      <c r="E1" s="2" t="inlineStr">
        <is>
          <t>G</t>
        </is>
      </c>
      <c r="F1" s="2" t="inlineStr">
        <is>
          <t>V</t>
        </is>
      </c>
      <c r="G1" s="2" t="inlineStr">
        <is>
          <t>Score</t>
        </is>
      </c>
      <c r="H1" s="2" t="inlineStr">
        <is>
          <t>Niveau</t>
        </is>
      </c>
      <c r="I1" s="2" t="inlineStr">
        <is>
          <t>G rés.</t>
        </is>
      </c>
      <c r="J1" s="2" t="inlineStr">
        <is>
          <t>V rés.</t>
        </is>
      </c>
      <c r="K1" s="2" t="inlineStr">
        <is>
          <t>Score rés.</t>
        </is>
      </c>
      <c r="L1" s="2" t="inlineStr">
        <is>
          <t>Niveau rés.</t>
        </is>
      </c>
      <c r="M1" s="2" t="inlineStr">
        <is>
          <t>Mesures</t>
        </is>
      </c>
      <c r="N1" s="2" t="inlineStr">
        <is>
          <t>Justification du résiduel</t>
        </is>
      </c>
      <c r="O1" s="2" t="inlineStr">
        <is>
          <t>Source</t>
        </is>
      </c>
    </row>
    <row r="2">
      <c r="A2" s="3" t="inlineStr">
        <is>
          <t>R1</t>
        </is>
      </c>
      <c r="B2" s="3" t="inlineStr">
        <is>
          <t>Un concurrent vole des informations de R&amp;D grâce à un canal d'exfiltration direct</t>
        </is>
      </c>
      <c r="C2" s="3" t="inlineStr">
        <is>
          <t>SS1.1</t>
        </is>
      </c>
      <c r="D2" s="3" t="inlineStr">
        <is>
          <t>ER3</t>
        </is>
      </c>
      <c r="E2" s="3" t="n">
        <v>3</v>
      </c>
      <c r="F2" s="3" t="n">
        <v>3</v>
      </c>
      <c r="G2" s="3">
        <f>E2*F2</f>
        <v/>
      </c>
      <c r="H2" s="3">
        <f>IF(G2&gt;=8,"Élevé",IF(G2&gt;=4,"Moyen","Faible"))</f>
        <v/>
      </c>
      <c r="I2" s="3" t="n">
        <v>3</v>
      </c>
      <c r="J2" s="3" t="n">
        <v>2</v>
      </c>
      <c r="K2" s="3">
        <f>I2*J2</f>
        <v/>
      </c>
      <c r="L2" s="3">
        <f>IF(K2&gt;=8,"Élevé",IF(K2&gt;=4,"Moyen","Faible"))</f>
        <v/>
      </c>
      <c r="M2" s="3" t="inlineStr">
        <is>
          <t>M01, M02, M07, M08, M11, N01, N02, N03, N07, N09</t>
        </is>
      </c>
      <c r="N2" s="3" t="inlineStr">
        <is>
          <t>Les mesures M01, M07, M08, M11, N01, N02, N03 ferment les trois modes opératoires (hameçonnage, salarié corrompu, clé USB piégée) mais un salarié corrompu reste possible</t>
        </is>
      </c>
      <c r="O2" s="3" t="inlineStr">
        <is>
          <t>ANSSI-EBIOS p. 72, p. 67</t>
        </is>
      </c>
    </row>
    <row r="3">
      <c r="A3" s="3" t="inlineStr">
        <is>
          <t>R2</t>
        </is>
      </c>
      <c r="B3" s="3" t="inlineStr">
        <is>
          <t>Un concurrent vole des informations de R&amp;D en exfiltrant celles détenues par le laboratoire</t>
        </is>
      </c>
      <c r="C3" s="3" t="inlineStr">
        <is>
          <t>SS1.2</t>
        </is>
      </c>
      <c r="D3" s="3" t="inlineStr">
        <is>
          <t>ER3</t>
        </is>
      </c>
      <c r="E3" s="3" t="n">
        <v>3</v>
      </c>
      <c r="F3" s="3" t="n">
        <v>2</v>
      </c>
      <c r="G3" s="3">
        <f>E3*F3</f>
        <v/>
      </c>
      <c r="H3" s="3">
        <f>IF(G3&gt;=8,"Élevé",IF(G3&gt;=4,"Moyen","Faible"))</f>
        <v/>
      </c>
      <c r="I3" s="3" t="n">
        <v>3</v>
      </c>
      <c r="J3" s="3" t="n">
        <v>1</v>
      </c>
      <c r="K3" s="3">
        <f>I3*J3</f>
        <v/>
      </c>
      <c r="L3" s="3">
        <f>IF(K3&gt;=8,"Élevé",IF(K3&gt;=4,"Moyen","Faible"))</f>
        <v/>
      </c>
      <c r="M3" s="3" t="inlineStr">
        <is>
          <t>M03, M04, M05, M06, M10, N09</t>
        </is>
      </c>
      <c r="N3" s="3" t="inlineStr">
        <is>
          <t>M06 (déjà terminée) réduit les données détenues par les laboratoires ; M03, M05 et M10 encadrent le laboratoire et l'interconnexion</t>
        </is>
      </c>
      <c r="O3" s="3" t="inlineStr">
        <is>
          <t>ANSSI-EBIOS p. 72, p. 67</t>
        </is>
      </c>
    </row>
    <row r="4">
      <c r="A4" s="3" t="inlineStr">
        <is>
          <t>R3</t>
        </is>
      </c>
      <c r="B4" s="3" t="inlineStr">
        <is>
          <t>Un concurrent vole des informations de R&amp;D grâce à un canal d'exfiltration via le prestataire informatique</t>
        </is>
      </c>
      <c r="C4" s="3" t="inlineStr">
        <is>
          <t>SS1.3</t>
        </is>
      </c>
      <c r="D4" s="3" t="inlineStr">
        <is>
          <t>ER3</t>
        </is>
      </c>
      <c r="E4" s="3" t="n">
        <v>3</v>
      </c>
      <c r="F4" s="3" t="n">
        <v>4</v>
      </c>
      <c r="G4" s="3">
        <f>E4*F4</f>
        <v/>
      </c>
      <c r="H4" s="3">
        <f>IF(G4&gt;=8,"Élevé",IF(G4&gt;=4,"Moyen","Faible"))</f>
        <v/>
      </c>
      <c r="I4" s="3" t="n">
        <v>3</v>
      </c>
      <c r="J4" s="3" t="n">
        <v>3</v>
      </c>
      <c r="K4" s="3">
        <f>I4*J4</f>
        <v/>
      </c>
      <c r="L4" s="3">
        <f>IF(K4&gt;=8,"Élevé",IF(K4&gt;=4,"Moyen","Faible"))</f>
        <v/>
      </c>
      <c r="M4" s="3" t="inlineStr">
        <is>
          <t>M03, M04, M05, M07, M11, N04, N05, N09, N11</t>
        </is>
      </c>
      <c r="N4" s="3" t="inlineStr">
        <is>
          <t>La direction maintient ce risque à un niveau élevé : le prestataire résiste aux mesures de sécurité, qui changent ses méthodes de travail (p. 80). Les mesures ramènent la vraisemblance de 4 à 3 seulement</t>
        </is>
      </c>
      <c r="O4" s="3" t="inlineStr">
        <is>
          <t>ANSSI-EBIOS p. 72, p. 67</t>
        </is>
      </c>
    </row>
    <row r="5">
      <c r="A5" s="3" t="inlineStr">
        <is>
          <t>R4</t>
        </is>
      </c>
      <c r="B5" s="3" t="inlineStr">
        <is>
          <t>Un activiste provoque un arrêt de la production des vaccins en compromettant l'équipement de maintenance du fournisseur de matériel</t>
        </is>
      </c>
      <c r="C5" s="3" t="inlineStr">
        <is>
          <t>SS2.1</t>
        </is>
      </c>
      <c r="D5" s="3" t="inlineStr">
        <is>
          <t>ER6</t>
        </is>
      </c>
      <c r="E5" s="3" t="n">
        <v>4</v>
      </c>
      <c r="F5" s="3" t="n">
        <v>2</v>
      </c>
      <c r="G5" s="3">
        <f>E5*F5</f>
        <v/>
      </c>
      <c r="H5" s="3">
        <f>IF(G5&gt;=8,"Élevé",IF(G5&gt;=4,"Moyen","Faible"))</f>
        <v/>
      </c>
      <c r="I5" s="3" t="n">
        <v>4</v>
      </c>
      <c r="J5" s="3" t="n">
        <v>1</v>
      </c>
      <c r="K5" s="3">
        <f>I5*J5</f>
        <v/>
      </c>
      <c r="L5" s="3">
        <f>IF(K5&gt;=8,"Élevé",IF(K5&gt;=4,"Moyen","Faible"))</f>
        <v/>
      </c>
      <c r="M5" s="3" t="inlineStr">
        <is>
          <t>M03, M04, M05, M09, M12, M13, N06, N08, N09, N13</t>
        </is>
      </c>
      <c r="N5" s="3" t="inlineStr">
        <is>
          <t>M13 fournit du matériel de maintenance maîtrisé par la DSI, M09 durcit le système industriel : la vraisemblance tombe à 1. La gravité reste 4 : un arrêt long en pic d'épidémie garde le même impact</t>
        </is>
      </c>
      <c r="O5" s="3" t="inlineStr">
        <is>
          <t>ANSSI-EBIOS p. 72, p. 67</t>
        </is>
      </c>
    </row>
    <row r="6">
      <c r="A6" s="3" t="inlineStr">
        <is>
          <t>R5</t>
        </is>
      </c>
      <c r="B6" s="3" t="inlineStr">
        <is>
          <t>Un activiste perturbe la distribution de vaccins en modifiant leur étiquetage</t>
        </is>
      </c>
      <c r="C6" s="3" t="inlineStr">
        <is>
          <t>SS2.2</t>
        </is>
      </c>
      <c r="D6" s="3" t="inlineStr">
        <is>
          <t>ER6</t>
        </is>
      </c>
      <c r="E6" s="3" t="n">
        <v>4</v>
      </c>
      <c r="F6" s="3" t="n">
        <v>1</v>
      </c>
      <c r="G6" s="3">
        <f>E6*F6</f>
        <v/>
      </c>
      <c r="H6" s="3">
        <f>IF(G6&gt;=8,"Élevé",IF(G6&gt;=4,"Moyen","Faible"))</f>
        <v/>
      </c>
      <c r="I6" s="3" t="n">
        <v>3</v>
      </c>
      <c r="J6" s="3" t="n">
        <v>1</v>
      </c>
      <c r="K6" s="3">
        <f>I6*J6</f>
        <v/>
      </c>
      <c r="L6" s="3">
        <f>IF(K6&gt;=8,"Élevé",IF(K6&gt;=4,"Moyen","Faible"))</f>
        <v/>
      </c>
      <c r="M6" s="3" t="inlineStr">
        <is>
          <t>M02, M09, M12, N09, N10</t>
        </is>
      </c>
      <c r="N6" s="3" t="inlineStr">
        <is>
          <t>N10 (double contrôle et intégrité de l'étiquetage) détecte l'altération avant expédition : la distribution n'est plus interrompue plus d'une semaine, la gravité passe à 3</t>
        </is>
      </c>
      <c r="O6" s="3" t="inlineStr">
        <is>
          <t>ANSSI-EBIOS p. 72, p. 67</t>
        </is>
      </c>
    </row>
    <row r="7">
      <c r="A7" s="3" t="inlineStr">
        <is>
          <t>R6</t>
        </is>
      </c>
      <c r="B7" s="3" t="inlineStr">
        <is>
          <t>Un cybercriminel paralyse la production par un rançongiciel déployé à partir du prestataire informatique</t>
        </is>
      </c>
      <c r="C7" s="3" t="inlineStr">
        <is>
          <t>SS3.1</t>
        </is>
      </c>
      <c r="D7" s="3" t="inlineStr">
        <is>
          <t>ER6</t>
        </is>
      </c>
      <c r="E7" s="3" t="n">
        <v>4</v>
      </c>
      <c r="F7" s="3" t="n">
        <v>4</v>
      </c>
      <c r="G7" s="3">
        <f>E7*F7</f>
        <v/>
      </c>
      <c r="H7" s="3">
        <f>IF(G7&gt;=8,"Élevé",IF(G7&gt;=4,"Moyen","Faible"))</f>
        <v/>
      </c>
      <c r="I7" s="3" t="n">
        <v>3</v>
      </c>
      <c r="J7" s="3" t="n">
        <v>2</v>
      </c>
      <c r="K7" s="3">
        <f>I7*J7</f>
        <v/>
      </c>
      <c r="L7" s="3">
        <f>IF(K7&gt;=8,"Élevé",IF(K7&gt;=4,"Moyen","Faible"))</f>
        <v/>
      </c>
      <c r="M7" s="3" t="inlineStr">
        <is>
          <t>M02, M03, M04, M05, M07, M09, M11, M12, N01, N02, N04, N05, N06, N07, N08, N09, N11, N13</t>
        </is>
      </c>
      <c r="N7" s="3" t="inlineStr">
        <is>
          <t>N04, N05, N01 gênent le déploiement depuis le prestataire ; N06 (sauvegardes hors ligne testées) et M12 (continuité) ramènent l'interruption sous une semaine, donc gravité 3</t>
        </is>
      </c>
      <c r="O7" s="3" t="inlineStr">
        <is>
          <t>Original</t>
        </is>
      </c>
    </row>
    <row r="8">
      <c r="A8" s="3" t="inlineStr">
        <is>
          <t>R7</t>
        </is>
      </c>
      <c r="B8" s="3" t="inlineStr">
        <is>
          <t>Un cybercriminel paralyse la production par un rançongiciel après hameçonnage direct des salariés</t>
        </is>
      </c>
      <c r="C8" s="3" t="inlineStr">
        <is>
          <t>SS3.2</t>
        </is>
      </c>
      <c r="D8" s="3" t="inlineStr">
        <is>
          <t>ER6</t>
        </is>
      </c>
      <c r="E8" s="3" t="n">
        <v>4</v>
      </c>
      <c r="F8" s="3" t="n">
        <v>3</v>
      </c>
      <c r="G8" s="3">
        <f>E8*F8</f>
        <v/>
      </c>
      <c r="H8" s="3">
        <f>IF(G8&gt;=8,"Élevé",IF(G8&gt;=4,"Moyen","Faible"))</f>
        <v/>
      </c>
      <c r="I8" s="3" t="n">
        <v>3</v>
      </c>
      <c r="J8" s="3" t="n">
        <v>2</v>
      </c>
      <c r="K8" s="3">
        <f>I8*J8</f>
        <v/>
      </c>
      <c r="L8" s="3">
        <f>IF(K8&gt;=8,"Élevé",IF(K8&gt;=4,"Moyen","Faible"))</f>
        <v/>
      </c>
      <c r="M8" s="3" t="inlineStr">
        <is>
          <t>M01, M02, M07, M09, M11, M12, N01, N02, N03, N04, N06, N07, N08, N09, N13</t>
        </is>
      </c>
      <c r="N8" s="3" t="inlineStr">
        <is>
          <t>M01, N07, N03, N01 réduisent la probabilité de compromission et de propagation ; N06 et M12 limitent la durée d'interruption</t>
        </is>
      </c>
      <c r="O8" s="3" t="inlineStr">
        <is>
          <t>Original</t>
        </is>
      </c>
    </row>
  </sheetData>
  <autoFilter ref="A1:O8"/>
  <conditionalFormatting sqref="H2:H8">
    <cfRule type="cellIs" priority="1" operator="equal" dxfId="0">
      <formula>"Faible"</formula>
    </cfRule>
    <cfRule type="cellIs" priority="2" operator="equal" dxfId="1">
      <formula>"Moyen"</formula>
    </cfRule>
    <cfRule type="cellIs" priority="3" operator="equal" dxfId="2">
      <formula>"Élevé"</formula>
    </cfRule>
  </conditionalFormatting>
  <conditionalFormatting sqref="L2:L8">
    <cfRule type="cellIs" priority="4" operator="equal" dxfId="0">
      <formula>"Faible"</formula>
    </cfRule>
    <cfRule type="cellIs" priority="5" operator="equal" dxfId="1">
      <formula>"Moyen"</formula>
    </cfRule>
    <cfRule type="cellIs" priority="6" operator="equal" dxfId="2">
      <formula>"Élevé"</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5" customWidth="1" min="3" max="3"/>
    <col width="60" customWidth="1" min="4" max="4"/>
    <col width="15" customWidth="1" min="5" max="5"/>
    <col width="17" customWidth="1" min="6" max="6"/>
  </cols>
  <sheetData>
    <row r="1">
      <c r="A1" s="2" t="inlineStr">
        <is>
          <t>Risque</t>
        </is>
      </c>
      <c r="B1" s="2" t="inlineStr">
        <is>
          <t>Mode</t>
        </is>
      </c>
      <c r="C1" s="2" t="inlineStr">
        <is>
          <t>Description</t>
        </is>
      </c>
      <c r="D1" s="2" t="inlineStr">
        <is>
          <t>Action</t>
        </is>
      </c>
      <c r="E1" s="2" t="inlineStr">
        <is>
          <t>Vraisemblance</t>
        </is>
      </c>
      <c r="F1" s="2" t="inlineStr">
        <is>
          <t>Règles du socle</t>
        </is>
      </c>
    </row>
    <row r="2">
      <c r="A2" s="3" t="inlineStr">
        <is>
          <t>R1</t>
        </is>
      </c>
      <c r="B2" s="3" t="n">
        <v>1</v>
      </c>
      <c r="C2" s="3" t="inlineStr">
        <is>
          <t>Hameçonnage du service RH ou canal préexistant, latéralisation, exfiltration</t>
        </is>
      </c>
      <c r="D2" s="3" t="inlineStr">
        <is>
          <t>Reconnaissance externe par sources ouvertes</t>
        </is>
      </c>
      <c r="E2" s="3" t="n">
        <v>4</v>
      </c>
      <c r="F2" s="3" t="inlineStr"/>
    </row>
    <row r="3">
      <c r="A3" s="3" t="inlineStr">
        <is>
          <t>R1</t>
        </is>
      </c>
      <c r="B3" s="3" t="n">
        <v>1</v>
      </c>
      <c r="C3" s="3" t="inlineStr">
        <is>
          <t>Hameçonnage du service RH ou canal préexistant, latéralisation, exfiltration</t>
        </is>
      </c>
      <c r="D3" s="3" t="inlineStr">
        <is>
          <t>Intrusion par message d'hameçonnage sur la messagerie RH</t>
        </is>
      </c>
      <c r="E3" s="3" t="n">
        <v>3</v>
      </c>
      <c r="F3" s="3" t="inlineStr">
        <is>
          <t>2, 24</t>
        </is>
      </c>
    </row>
    <row r="4">
      <c r="A4" s="3" t="inlineStr">
        <is>
          <t>R1</t>
        </is>
      </c>
      <c r="B4" s="3" t="n">
        <v>1</v>
      </c>
      <c r="C4" s="3" t="inlineStr">
        <is>
          <t>Hameçonnage du service RH ou canal préexistant, latéralisation, exfiltration</t>
        </is>
      </c>
      <c r="D4" s="3" t="inlineStr">
        <is>
          <t>Reconnaissance du réseau bureautique du site de Paris</t>
        </is>
      </c>
      <c r="E4" s="3" t="n">
        <v>3</v>
      </c>
      <c r="F4" s="3" t="inlineStr">
        <is>
          <t>4</t>
        </is>
      </c>
    </row>
    <row r="5">
      <c r="A5" s="3" t="inlineStr">
        <is>
          <t>R1</t>
        </is>
      </c>
      <c r="B5" s="3" t="n">
        <v>1</v>
      </c>
      <c r="C5" s="3" t="inlineStr">
        <is>
          <t>Hameçonnage du service RH ou canal préexistant, latéralisation, exfiltration</t>
        </is>
      </c>
      <c r="D5" s="3" t="inlineStr">
        <is>
          <t>Latéralisation vers le réseau de la R&amp;D</t>
        </is>
      </c>
      <c r="E5" s="3" t="n">
        <v>3</v>
      </c>
      <c r="F5" s="3" t="inlineStr">
        <is>
          <t>19</t>
        </is>
      </c>
    </row>
    <row r="6">
      <c r="A6" s="3" t="inlineStr">
        <is>
          <t>R1</t>
        </is>
      </c>
      <c r="B6" s="3" t="n">
        <v>1</v>
      </c>
      <c r="C6" s="3" t="inlineStr">
        <is>
          <t>Hameçonnage du service RH ou canal préexistant, latéralisation, exfiltration</t>
        </is>
      </c>
      <c r="D6" s="3" t="inlineStr">
        <is>
          <t>Exploitation d'un maliciel de collecte et d'exfiltration</t>
        </is>
      </c>
      <c r="E6" s="3" t="n">
        <v>3</v>
      </c>
      <c r="F6" s="3" t="inlineStr">
        <is>
          <t>14, 34, 36</t>
        </is>
      </c>
    </row>
    <row r="7">
      <c r="A7" s="3" t="inlineStr">
        <is>
          <t>R1</t>
        </is>
      </c>
      <c r="B7" s="3" t="n">
        <v>2</v>
      </c>
      <c r="C7" s="3" t="inlineStr">
        <is>
          <t>Corruption d'un salarié de la R&amp;D</t>
        </is>
      </c>
      <c r="D7" s="3" t="inlineStr">
        <is>
          <t>Reconnaissance externe avancée</t>
        </is>
      </c>
      <c r="E7" s="3" t="n">
        <v>2</v>
      </c>
      <c r="F7" s="3" t="inlineStr"/>
    </row>
    <row r="8">
      <c r="A8" s="3" t="inlineStr">
        <is>
          <t>R1</t>
        </is>
      </c>
      <c r="B8" s="3" t="n">
        <v>2</v>
      </c>
      <c r="C8" s="3" t="inlineStr">
        <is>
          <t>Corruption d'un salarié de la R&amp;D</t>
        </is>
      </c>
      <c r="D8" s="3" t="inlineStr">
        <is>
          <t>Corruption d'un salarié de l'équipe R&amp;D</t>
        </is>
      </c>
      <c r="E8" s="3" t="n">
        <v>2</v>
      </c>
      <c r="F8" s="3" t="inlineStr">
        <is>
          <t>2</t>
        </is>
      </c>
    </row>
    <row r="9">
      <c r="A9" s="3" t="inlineStr">
        <is>
          <t>R1</t>
        </is>
      </c>
      <c r="B9" s="3" t="n">
        <v>2</v>
      </c>
      <c r="C9" s="3" t="inlineStr">
        <is>
          <t>Corruption d'un salarié de la R&amp;D</t>
        </is>
      </c>
      <c r="D9" s="3" t="inlineStr">
        <is>
          <t>Vol des données depuis le poste, sans supervision</t>
        </is>
      </c>
      <c r="E9" s="3" t="n">
        <v>4</v>
      </c>
      <c r="F9" s="3" t="inlineStr">
        <is>
          <t>9, 36</t>
        </is>
      </c>
    </row>
    <row r="10">
      <c r="A10" s="3" t="inlineStr">
        <is>
          <t>R1</t>
        </is>
      </c>
      <c r="B10" s="3" t="n">
        <v>3</v>
      </c>
      <c r="C10" s="3" t="inlineStr">
        <is>
          <t>Corruption du personnel d'entretien, clé USB piégée</t>
        </is>
      </c>
      <c r="D10" s="3" t="inlineStr">
        <is>
          <t>Reconnaissance externe avancée</t>
        </is>
      </c>
      <c r="E10" s="3" t="n">
        <v>2</v>
      </c>
      <c r="F10" s="3" t="inlineStr"/>
    </row>
    <row r="11">
      <c r="A11" s="3" t="inlineStr">
        <is>
          <t>R1</t>
        </is>
      </c>
      <c r="B11" s="3" t="n">
        <v>3</v>
      </c>
      <c r="C11" s="3" t="inlineStr">
        <is>
          <t>Corruption du personnel d'entretien, clé USB piégée</t>
        </is>
      </c>
      <c r="D11" s="3" t="inlineStr">
        <is>
          <t>Corruption d'un prestataire d'entretien des locaux</t>
        </is>
      </c>
      <c r="E11" s="3" t="n">
        <v>3</v>
      </c>
      <c r="F11" s="3" t="inlineStr">
        <is>
          <t>26</t>
        </is>
      </c>
    </row>
    <row r="12">
      <c r="A12" s="3" t="inlineStr">
        <is>
          <t>R1</t>
        </is>
      </c>
      <c r="B12" s="3" t="n">
        <v>3</v>
      </c>
      <c r="C12" s="3" t="inlineStr">
        <is>
          <t>Corruption du personnel d'entretien, clé USB piégée</t>
        </is>
      </c>
      <c r="D12" s="3" t="inlineStr">
        <is>
          <t>Clé USB piégée connectée sur un poste de R&amp;D</t>
        </is>
      </c>
      <c r="E12" s="3" t="n">
        <v>3</v>
      </c>
      <c r="F12" s="3" t="inlineStr">
        <is>
          <t>15, 26</t>
        </is>
      </c>
    </row>
    <row r="13">
      <c r="A13" s="3" t="inlineStr">
        <is>
          <t>R1</t>
        </is>
      </c>
      <c r="B13" s="3" t="n">
        <v>3</v>
      </c>
      <c r="C13" s="3" t="inlineStr">
        <is>
          <t>Corruption du personnel d'entretien, clé USB piégée</t>
        </is>
      </c>
      <c r="D13" s="3" t="inlineStr">
        <is>
          <t>Vol et exploitation des données de R&amp;D</t>
        </is>
      </c>
      <c r="E13" s="3" t="n">
        <v>4</v>
      </c>
      <c r="F13" s="3" t="inlineStr">
        <is>
          <t>9, 36</t>
        </is>
      </c>
    </row>
    <row r="14">
      <c r="A14" s="3" t="inlineStr">
        <is>
          <t>R2</t>
        </is>
      </c>
      <c r="B14" s="3" t="n">
        <v>1</v>
      </c>
      <c r="C14" s="3" t="inlineStr">
        <is>
          <t>Compromission du SI du laboratoire, exfiltration des copies de travaux</t>
        </is>
      </c>
      <c r="D14" s="3" t="inlineStr">
        <is>
          <t>Reconnaissance des laboratoires partenaires (publications, sites)</t>
        </is>
      </c>
      <c r="E14" s="3" t="n">
        <v>4</v>
      </c>
      <c r="F14" s="3" t="inlineStr"/>
    </row>
    <row r="15">
      <c r="A15" s="3" t="inlineStr">
        <is>
          <t>R2</t>
        </is>
      </c>
      <c r="B15" s="3" t="n">
        <v>1</v>
      </c>
      <c r="C15" s="3" t="inlineStr">
        <is>
          <t>Compromission du SI du laboratoire, exfiltration des copies de travaux</t>
        </is>
      </c>
      <c r="D15" s="3" t="inlineStr">
        <is>
          <t>Compromission du SI du laboratoire (hameçonnage, vulnérabilité)</t>
        </is>
      </c>
      <c r="E15" s="3" t="n">
        <v>2</v>
      </c>
      <c r="F15" s="3" t="inlineStr">
        <is>
          <t>3</t>
        </is>
      </c>
    </row>
    <row r="16">
      <c r="A16" s="3" t="inlineStr">
        <is>
          <t>R2</t>
        </is>
      </c>
      <c r="B16" s="3" t="n">
        <v>1</v>
      </c>
      <c r="C16" s="3" t="inlineStr">
        <is>
          <t>Compromission du SI du laboratoire, exfiltration des copies de travaux</t>
        </is>
      </c>
      <c r="D16" s="3" t="inlineStr">
        <is>
          <t>Exfiltration des données de R&amp;D que le laboratoire détient</t>
        </is>
      </c>
      <c r="E16" s="3" t="n">
        <v>3</v>
      </c>
      <c r="F16" s="3" t="inlineStr">
        <is>
          <t>25</t>
        </is>
      </c>
    </row>
    <row r="17">
      <c r="A17" s="3" t="inlineStr">
        <is>
          <t>R2</t>
        </is>
      </c>
      <c r="B17" s="3" t="n">
        <v>2</v>
      </c>
      <c r="C17" s="3" t="inlineStr">
        <is>
          <t>Rebond par l'interconnexion avec le laboratoire</t>
        </is>
      </c>
      <c r="D17" s="3" t="inlineStr">
        <is>
          <t>Compromission du laboratoire</t>
        </is>
      </c>
      <c r="E17" s="3" t="n">
        <v>2</v>
      </c>
      <c r="F17" s="3" t="inlineStr">
        <is>
          <t>3</t>
        </is>
      </c>
    </row>
    <row r="18">
      <c r="A18" s="3" t="inlineStr">
        <is>
          <t>R2</t>
        </is>
      </c>
      <c r="B18" s="3" t="n">
        <v>2</v>
      </c>
      <c r="C18" s="3" t="inlineStr">
        <is>
          <t>Rebond par l'interconnexion avec le laboratoire</t>
        </is>
      </c>
      <c r="D18" s="3" t="inlineStr">
        <is>
          <t>Passage par l'interconnexion non filtrée vers la R&amp;D</t>
        </is>
      </c>
      <c r="E18" s="3" t="n">
        <v>2</v>
      </c>
      <c r="F18" s="3" t="inlineStr">
        <is>
          <t>25, 19</t>
        </is>
      </c>
    </row>
    <row r="19">
      <c r="A19" s="3" t="inlineStr">
        <is>
          <t>R2</t>
        </is>
      </c>
      <c r="B19" s="3" t="n">
        <v>2</v>
      </c>
      <c r="C19" s="3" t="inlineStr">
        <is>
          <t>Rebond par l'interconnexion avec le laboratoire</t>
        </is>
      </c>
      <c r="D19" s="3" t="inlineStr">
        <is>
          <t>Exfiltration des données</t>
        </is>
      </c>
      <c r="E19" s="3" t="n">
        <v>3</v>
      </c>
      <c r="F19" s="3" t="inlineStr">
        <is>
          <t>36</t>
        </is>
      </c>
    </row>
    <row r="20">
      <c r="A20" s="3" t="inlineStr">
        <is>
          <t>R3</t>
        </is>
      </c>
      <c r="B20" s="3" t="n">
        <v>1</v>
      </c>
      <c r="C20" s="3" t="inlineStr">
        <is>
          <t>Compromission du prestataire informatique et usage de ses accès</t>
        </is>
      </c>
      <c r="D20" s="3" t="inlineStr">
        <is>
          <t>Reconnaissance du prestataire informatique</t>
        </is>
      </c>
      <c r="E20" s="3" t="n">
        <v>4</v>
      </c>
      <c r="F20" s="3" t="inlineStr"/>
    </row>
    <row r="21">
      <c r="A21" s="3" t="inlineStr">
        <is>
          <t>R3</t>
        </is>
      </c>
      <c r="B21" s="3" t="n">
        <v>1</v>
      </c>
      <c r="C21" s="3" t="inlineStr">
        <is>
          <t>Compromission du prestataire informatique et usage de ses accès</t>
        </is>
      </c>
      <c r="D21" s="3" t="inlineStr">
        <is>
          <t>Compromission du SI du prestataire, dont la sécurité est faible</t>
        </is>
      </c>
      <c r="E21" s="3" t="n">
        <v>4</v>
      </c>
      <c r="F21" s="3" t="inlineStr">
        <is>
          <t>3</t>
        </is>
      </c>
    </row>
    <row r="22">
      <c r="A22" s="3" t="inlineStr">
        <is>
          <t>R3</t>
        </is>
      </c>
      <c r="B22" s="3" t="n">
        <v>1</v>
      </c>
      <c r="C22" s="3" t="inlineStr">
        <is>
          <t>Compromission du prestataire informatique et usage de ses accès</t>
        </is>
      </c>
      <c r="D22" s="3" t="inlineStr">
        <is>
          <t>Usage des droits d'accès élevés du prestataire sur les serveurs de R&amp;D</t>
        </is>
      </c>
      <c r="E22" s="3" t="n">
        <v>4</v>
      </c>
      <c r="F22" s="3" t="inlineStr">
        <is>
          <t>5, 8, 13</t>
        </is>
      </c>
    </row>
    <row r="23">
      <c r="A23" s="3" t="inlineStr">
        <is>
          <t>R3</t>
        </is>
      </c>
      <c r="B23" s="3" t="n">
        <v>1</v>
      </c>
      <c r="C23" s="3" t="inlineStr">
        <is>
          <t>Compromission du prestataire informatique et usage de ses accès</t>
        </is>
      </c>
      <c r="D23" s="3" t="inlineStr">
        <is>
          <t>Exfiltration par un canal de maintenance</t>
        </is>
      </c>
      <c r="E23" s="3" t="n">
        <v>4</v>
      </c>
      <c r="F23" s="3" t="inlineStr">
        <is>
          <t>36</t>
        </is>
      </c>
    </row>
    <row r="24">
      <c r="A24" s="3" t="inlineStr">
        <is>
          <t>R3</t>
        </is>
      </c>
      <c r="B24" s="3" t="n">
        <v>2</v>
      </c>
      <c r="C24" s="3" t="inlineStr">
        <is>
          <t>Corruption d'un employé du prestataire</t>
        </is>
      </c>
      <c r="D24" s="3" t="inlineStr">
        <is>
          <t>Reconnaissance externe avancée</t>
        </is>
      </c>
      <c r="E24" s="3" t="n">
        <v>2</v>
      </c>
      <c r="F24" s="3" t="inlineStr"/>
    </row>
    <row r="25">
      <c r="A25" s="3" t="inlineStr">
        <is>
          <t>R3</t>
        </is>
      </c>
      <c r="B25" s="3" t="n">
        <v>2</v>
      </c>
      <c r="C25" s="3" t="inlineStr">
        <is>
          <t>Corruption d'un employé du prestataire</t>
        </is>
      </c>
      <c r="D25" s="3" t="inlineStr">
        <is>
          <t>Corruption d'un administrateur du prestataire</t>
        </is>
      </c>
      <c r="E25" s="3" t="n">
        <v>2</v>
      </c>
      <c r="F25" s="3" t="inlineStr">
        <is>
          <t>3</t>
        </is>
      </c>
    </row>
    <row r="26">
      <c r="A26" s="3" t="inlineStr">
        <is>
          <t>R3</t>
        </is>
      </c>
      <c r="B26" s="3" t="n">
        <v>2</v>
      </c>
      <c r="C26" s="3" t="inlineStr">
        <is>
          <t>Corruption d'un employé du prestataire</t>
        </is>
      </c>
      <c r="D26" s="3" t="inlineStr">
        <is>
          <t>Vol des données de R&amp;D</t>
        </is>
      </c>
      <c r="E26" s="3" t="n">
        <v>4</v>
      </c>
      <c r="F26" s="3" t="inlineStr">
        <is>
          <t>5, 36</t>
        </is>
      </c>
    </row>
    <row r="27">
      <c r="A27" s="3" t="inlineStr">
        <is>
          <t>R4</t>
        </is>
      </c>
      <c r="B27" s="3" t="n">
        <v>1</v>
      </c>
      <c r="C27" s="3" t="inlineStr">
        <is>
          <t>Compromission du fournisseur de matériel, puis de son équipement de maintenance</t>
        </is>
      </c>
      <c r="D27" s="3" t="inlineStr">
        <is>
          <t>Reconnaissance du fournisseur de matériel</t>
        </is>
      </c>
      <c r="E27" s="3" t="n">
        <v>4</v>
      </c>
      <c r="F27" s="3" t="inlineStr"/>
    </row>
    <row r="28">
      <c r="A28" s="3" t="inlineStr">
        <is>
          <t>R4</t>
        </is>
      </c>
      <c r="B28" s="3" t="n">
        <v>1</v>
      </c>
      <c r="C28" s="3" t="inlineStr">
        <is>
          <t>Compromission du fournisseur de matériel, puis de son équipement de maintenance</t>
        </is>
      </c>
      <c r="D28" s="3" t="inlineStr">
        <is>
          <t>Compromission du SI ou des postes du fournisseur</t>
        </is>
      </c>
      <c r="E28" s="3" t="n">
        <v>3</v>
      </c>
      <c r="F28" s="3" t="inlineStr"/>
    </row>
    <row r="29">
      <c r="A29" s="3" t="inlineStr">
        <is>
          <t>R4</t>
        </is>
      </c>
      <c r="B29" s="3" t="n">
        <v>1</v>
      </c>
      <c r="C29" s="3" t="inlineStr">
        <is>
          <t>Compromission du fournisseur de matériel, puis de son équipement de maintenance</t>
        </is>
      </c>
      <c r="D29" s="3" t="inlineStr">
        <is>
          <t>Piégeage de l'équipement de maintenance utilisé sur le système industriel</t>
        </is>
      </c>
      <c r="E29" s="3" t="n">
        <v>3</v>
      </c>
      <c r="F29" s="3" t="inlineStr">
        <is>
          <t>7</t>
        </is>
      </c>
    </row>
    <row r="30">
      <c r="A30" s="3" t="inlineStr">
        <is>
          <t>R4</t>
        </is>
      </c>
      <c r="B30" s="3" t="n">
        <v>1</v>
      </c>
      <c r="C30" s="3" t="inlineStr">
        <is>
          <t>Compromission du fournisseur de matériel, puis de son équipement de maintenance</t>
        </is>
      </c>
      <c r="D30" s="3" t="inlineStr">
        <is>
          <t>Connexion au réseau industriel sans cloisonnement</t>
        </is>
      </c>
      <c r="E30" s="3" t="n">
        <v>3</v>
      </c>
      <c r="F30" s="3" t="inlineStr">
        <is>
          <t>19, 28</t>
        </is>
      </c>
    </row>
    <row r="31">
      <c r="A31" s="3" t="inlineStr">
        <is>
          <t>R4</t>
        </is>
      </c>
      <c r="B31" s="3" t="n">
        <v>1</v>
      </c>
      <c r="C31" s="3" t="inlineStr">
        <is>
          <t>Compromission du fournisseur de matériel, puis de son équipement de maintenance</t>
        </is>
      </c>
      <c r="D31" s="3" t="inlineStr">
        <is>
          <t>Modification des paramètres de production ou arrêt de la ligne</t>
        </is>
      </c>
      <c r="E31" s="3" t="n">
        <v>2</v>
      </c>
      <c r="F31" s="3" t="inlineStr">
        <is>
          <t>12, 35</t>
        </is>
      </c>
    </row>
    <row r="32">
      <c r="A32" s="3" t="inlineStr">
        <is>
          <t>R4</t>
        </is>
      </c>
      <c r="B32" s="3" t="n">
        <v>2</v>
      </c>
      <c r="C32" s="3" t="inlineStr">
        <is>
          <t>Piégeage de l'équipement de maintenance chez le fournisseur</t>
        </is>
      </c>
      <c r="D32" s="3" t="inlineStr">
        <is>
          <t>Accès à l'équipement en cours de fabrication ou de préparation</t>
        </is>
      </c>
      <c r="E32" s="3" t="n">
        <v>2</v>
      </c>
      <c r="F32" s="3" t="inlineStr"/>
    </row>
    <row r="33">
      <c r="A33" s="3" t="inlineStr">
        <is>
          <t>R4</t>
        </is>
      </c>
      <c r="B33" s="3" t="n">
        <v>2</v>
      </c>
      <c r="C33" s="3" t="inlineStr">
        <is>
          <t>Piégeage de l'équipement de maintenance chez le fournisseur</t>
        </is>
      </c>
      <c r="D33" s="3" t="inlineStr">
        <is>
          <t>Déclenchement lors de la maintenance sur site</t>
        </is>
      </c>
      <c r="E33" s="3" t="n">
        <v>3</v>
      </c>
      <c r="F33" s="3" t="inlineStr">
        <is>
          <t>7</t>
        </is>
      </c>
    </row>
    <row r="34">
      <c r="A34" s="3" t="inlineStr">
        <is>
          <t>R4</t>
        </is>
      </c>
      <c r="B34" s="3" t="n">
        <v>2</v>
      </c>
      <c r="C34" s="3" t="inlineStr">
        <is>
          <t>Piégeage de l'équipement de maintenance chez le fournisseur</t>
        </is>
      </c>
      <c r="D34" s="3" t="inlineStr">
        <is>
          <t>Arrêt de la ligne de production</t>
        </is>
      </c>
      <c r="E34" s="3" t="n">
        <v>2</v>
      </c>
      <c r="F34" s="3" t="inlineStr">
        <is>
          <t>12, 35</t>
        </is>
      </c>
    </row>
    <row r="35">
      <c r="A35" s="3" t="inlineStr">
        <is>
          <t>R5</t>
        </is>
      </c>
      <c r="B35" s="3" t="n">
        <v>1</v>
      </c>
      <c r="C35" s="3" t="inlineStr">
        <is>
          <t>Propagation vers les serveurs de traçabilité et altération de l'étiquetage</t>
        </is>
      </c>
      <c r="D35" s="3" t="inlineStr">
        <is>
          <t>Intrusion sur le réseau bureautique</t>
        </is>
      </c>
      <c r="E35" s="3" t="n">
        <v>3</v>
      </c>
      <c r="F35" s="3" t="inlineStr">
        <is>
          <t>24, 14</t>
        </is>
      </c>
    </row>
    <row r="36">
      <c r="A36" s="3" t="inlineStr">
        <is>
          <t>R5</t>
        </is>
      </c>
      <c r="B36" s="3" t="n">
        <v>1</v>
      </c>
      <c r="C36" s="3" t="inlineStr">
        <is>
          <t>Propagation vers les serveurs de traçabilité et altération de l'étiquetage</t>
        </is>
      </c>
      <c r="D36" s="3" t="inlineStr">
        <is>
          <t>Latéralisation vers les serveurs de traçabilité</t>
        </is>
      </c>
      <c r="E36" s="3" t="n">
        <v>2</v>
      </c>
      <c r="F36" s="3" t="inlineStr">
        <is>
          <t>19</t>
        </is>
      </c>
    </row>
    <row r="37">
      <c r="A37" s="3" t="inlineStr">
        <is>
          <t>R5</t>
        </is>
      </c>
      <c r="B37" s="3" t="n">
        <v>1</v>
      </c>
      <c r="C37" s="3" t="inlineStr">
        <is>
          <t>Propagation vers les serveurs de traçabilité et altération de l'étiquetage</t>
        </is>
      </c>
      <c r="D37" s="3" t="inlineStr">
        <is>
          <t>Altération des données d'étiquetage avant expédition</t>
        </is>
      </c>
      <c r="E37" s="3" t="n">
        <v>1</v>
      </c>
      <c r="F37" s="3" t="inlineStr">
        <is>
          <t>9</t>
        </is>
      </c>
    </row>
    <row r="38">
      <c r="A38" s="3" t="inlineStr">
        <is>
          <t>R5</t>
        </is>
      </c>
      <c r="B38" s="3" t="n">
        <v>2</v>
      </c>
      <c r="C38" s="3" t="inlineStr">
        <is>
          <t>Corruption d'un opérateur de conditionnement</t>
        </is>
      </c>
      <c r="D38" s="3" t="inlineStr">
        <is>
          <t>Corruption d'un opérateur</t>
        </is>
      </c>
      <c r="E38" s="3" t="n">
        <v>2</v>
      </c>
      <c r="F38" s="3" t="inlineStr">
        <is>
          <t>2</t>
        </is>
      </c>
    </row>
    <row r="39">
      <c r="A39" s="3" t="inlineStr">
        <is>
          <t>R5</t>
        </is>
      </c>
      <c r="B39" s="3" t="n">
        <v>2</v>
      </c>
      <c r="C39" s="3" t="inlineStr">
        <is>
          <t>Corruption d'un opérateur de conditionnement</t>
        </is>
      </c>
      <c r="D39" s="3" t="inlineStr">
        <is>
          <t>Modification de l'étiquetage à la source</t>
        </is>
      </c>
      <c r="E39" s="3" t="n">
        <v>1</v>
      </c>
      <c r="F39" s="3" t="inlineStr">
        <is>
          <t>9</t>
        </is>
      </c>
    </row>
    <row r="40">
      <c r="A40" s="3" t="inlineStr">
        <is>
          <t>R6</t>
        </is>
      </c>
      <c r="B40" s="3" t="n">
        <v>1</v>
      </c>
      <c r="C40" s="3" t="inlineStr">
        <is>
          <t>Compromission du prestataire informatique, déploiement du rançongiciel</t>
        </is>
      </c>
      <c r="D40" s="3" t="inlineStr">
        <is>
          <t>Reconnaissance du prestataire informatique</t>
        </is>
      </c>
      <c r="E40" s="3" t="n">
        <v>4</v>
      </c>
      <c r="F40" s="3" t="inlineStr"/>
    </row>
    <row r="41">
      <c r="A41" s="3" t="inlineStr">
        <is>
          <t>R6</t>
        </is>
      </c>
      <c r="B41" s="3" t="n">
        <v>1</v>
      </c>
      <c r="C41" s="3" t="inlineStr">
        <is>
          <t>Compromission du prestataire informatique, déploiement du rançongiciel</t>
        </is>
      </c>
      <c r="D41" s="3" t="inlineStr">
        <is>
          <t>Compromission du SI du prestataire</t>
        </is>
      </c>
      <c r="E41" s="3" t="n">
        <v>4</v>
      </c>
      <c r="F41" s="3" t="inlineStr">
        <is>
          <t>3</t>
        </is>
      </c>
    </row>
    <row r="42">
      <c r="A42" s="3" t="inlineStr">
        <is>
          <t>R6</t>
        </is>
      </c>
      <c r="B42" s="3" t="n">
        <v>1</v>
      </c>
      <c r="C42" s="3" t="inlineStr">
        <is>
          <t>Compromission du prestataire informatique, déploiement du rançongiciel</t>
        </is>
      </c>
      <c r="D42" s="3" t="inlineStr">
        <is>
          <t>Usage des comptes privilégiés du prestataire</t>
        </is>
      </c>
      <c r="E42" s="3" t="n">
        <v>4</v>
      </c>
      <c r="F42" s="3" t="inlineStr">
        <is>
          <t>5, 8, 13</t>
        </is>
      </c>
    </row>
    <row r="43">
      <c r="A43" s="3" t="inlineStr">
        <is>
          <t>R6</t>
        </is>
      </c>
      <c r="B43" s="3" t="n">
        <v>1</v>
      </c>
      <c r="C43" s="3" t="inlineStr">
        <is>
          <t>Compromission du prestataire informatique, déploiement du rançongiciel</t>
        </is>
      </c>
      <c r="D43" s="3" t="inlineStr">
        <is>
          <t>Propagation aux serveurs de R&amp;D, de production et de traçabilité</t>
        </is>
      </c>
      <c r="E43" s="3" t="n">
        <v>4</v>
      </c>
      <c r="F43" s="3" t="inlineStr">
        <is>
          <t>19, 28</t>
        </is>
      </c>
    </row>
    <row r="44">
      <c r="A44" s="3" t="inlineStr">
        <is>
          <t>R6</t>
        </is>
      </c>
      <c r="B44" s="3" t="n">
        <v>1</v>
      </c>
      <c r="C44" s="3" t="inlineStr">
        <is>
          <t>Compromission du prestataire informatique, déploiement du rançongiciel</t>
        </is>
      </c>
      <c r="D44" s="3" t="inlineStr">
        <is>
          <t>Chiffrement des systèmes et des sauvegardes</t>
        </is>
      </c>
      <c r="E44" s="3" t="n">
        <v>4</v>
      </c>
      <c r="F44" s="3" t="inlineStr">
        <is>
          <t>37</t>
        </is>
      </c>
    </row>
    <row r="45">
      <c r="A45" s="3" t="inlineStr">
        <is>
          <t>R7</t>
        </is>
      </c>
      <c r="B45" s="3" t="n">
        <v>1</v>
      </c>
      <c r="C45" s="3" t="inlineStr">
        <is>
          <t>Hameçonnage direct, élévation de droits, propagation, chiffrement</t>
        </is>
      </c>
      <c r="D45" s="3" t="inlineStr">
        <is>
          <t>Message d'hameçonnage envoyé aux salariés</t>
        </is>
      </c>
      <c r="E45" s="3" t="n">
        <v>4</v>
      </c>
      <c r="F45" s="3" t="inlineStr">
        <is>
          <t>2, 24</t>
        </is>
      </c>
    </row>
    <row r="46">
      <c r="A46" s="3" t="inlineStr">
        <is>
          <t>R7</t>
        </is>
      </c>
      <c r="B46" s="3" t="n">
        <v>1</v>
      </c>
      <c r="C46" s="3" t="inlineStr">
        <is>
          <t>Hameçonnage direct, élévation de droits, propagation, chiffrement</t>
        </is>
      </c>
      <c r="D46" s="3" t="inlineStr">
        <is>
          <t>Exécution du maliciel sur un poste, droits d'administration locaux</t>
        </is>
      </c>
      <c r="E46" s="3" t="n">
        <v>3</v>
      </c>
      <c r="F46" s="3" t="inlineStr">
        <is>
          <t>14, 29</t>
        </is>
      </c>
    </row>
    <row r="47">
      <c r="A47" s="3" t="inlineStr">
        <is>
          <t>R7</t>
        </is>
      </c>
      <c r="B47" s="3" t="n">
        <v>1</v>
      </c>
      <c r="C47" s="3" t="inlineStr">
        <is>
          <t>Hameçonnage direct, élévation de droits, propagation, chiffrement</t>
        </is>
      </c>
      <c r="D47" s="3" t="inlineStr">
        <is>
          <t>Propagation vers la production et la traçabilité</t>
        </is>
      </c>
      <c r="E47" s="3" t="n">
        <v>3</v>
      </c>
      <c r="F47" s="3" t="inlineStr">
        <is>
          <t>19</t>
        </is>
      </c>
    </row>
    <row r="48">
      <c r="A48" s="3" t="inlineStr">
        <is>
          <t>R7</t>
        </is>
      </c>
      <c r="B48" s="3" t="n">
        <v>1</v>
      </c>
      <c r="C48" s="3" t="inlineStr">
        <is>
          <t>Hameçonnage direct, élévation de droits, propagation, chiffrement</t>
        </is>
      </c>
      <c r="D48" s="3" t="inlineStr">
        <is>
          <t>Chiffrement des systèmes et des sauvegardes</t>
        </is>
      </c>
      <c r="E48" s="3" t="n">
        <v>3</v>
      </c>
      <c r="F48" s="3" t="inlineStr">
        <is>
          <t>37</t>
        </is>
      </c>
    </row>
    <row r="49">
      <c r="A49" s="3" t="inlineStr">
        <is>
          <t>R7</t>
        </is>
      </c>
      <c r="B49" s="3" t="n">
        <v>2</v>
      </c>
      <c r="C49" s="3" t="inlineStr">
        <is>
          <t>Clé USB piégée déposée dans les locaux</t>
        </is>
      </c>
      <c r="D49" s="3" t="inlineStr">
        <is>
          <t>Dépôt de clés USB piégées</t>
        </is>
      </c>
      <c r="E49" s="3" t="n">
        <v>3</v>
      </c>
      <c r="F49" s="3" t="inlineStr">
        <is>
          <t>26</t>
        </is>
      </c>
    </row>
    <row r="50">
      <c r="A50" s="3" t="inlineStr">
        <is>
          <t>R7</t>
        </is>
      </c>
      <c r="B50" s="3" t="n">
        <v>2</v>
      </c>
      <c r="C50" s="3" t="inlineStr">
        <is>
          <t>Clé USB piégée déposée dans les locaux</t>
        </is>
      </c>
      <c r="D50" s="3" t="inlineStr">
        <is>
          <t>Exécution automatique sur un poste</t>
        </is>
      </c>
      <c r="E50" s="3" t="n">
        <v>2</v>
      </c>
      <c r="F50" s="3" t="inlineStr">
        <is>
          <t>15</t>
        </is>
      </c>
    </row>
    <row r="51">
      <c r="A51" s="3" t="inlineStr">
        <is>
          <t>R7</t>
        </is>
      </c>
      <c r="B51" s="3" t="n">
        <v>2</v>
      </c>
      <c r="C51" s="3" t="inlineStr">
        <is>
          <t>Clé USB piégée déposée dans les locaux</t>
        </is>
      </c>
      <c r="D51" s="3" t="inlineStr">
        <is>
          <t>Propagation et chiffrement</t>
        </is>
      </c>
      <c r="E51" s="3" t="n">
        <v>3</v>
      </c>
      <c r="F51" s="3" t="inlineStr">
        <is>
          <t>19, 37</t>
        </is>
      </c>
    </row>
  </sheetData>
  <autoFilter ref="A1:F5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7"/>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10" customWidth="1" min="3" max="3"/>
    <col width="10" customWidth="1" min="4" max="4"/>
    <col width="13" customWidth="1" min="5" max="5"/>
    <col width="30" customWidth="1" min="6" max="6"/>
    <col width="10" customWidth="1" min="7" max="7"/>
    <col width="10" customWidth="1" min="8" max="8"/>
    <col width="24" customWidth="1" min="9" max="9"/>
    <col width="10" customWidth="1" min="10" max="10"/>
    <col width="16" customWidth="1" min="11" max="11"/>
    <col width="10" customWidth="1" min="12" max="12"/>
    <col width="14" customWidth="1" min="13" max="13"/>
    <col width="24" customWidth="1" min="14" max="14"/>
    <col width="34" customWidth="1" min="15" max="15"/>
  </cols>
  <sheetData>
    <row r="1">
      <c r="A1" s="2" t="inlineStr">
        <is>
          <t>Réf.</t>
        </is>
      </c>
      <c r="B1" s="2" t="inlineStr">
        <is>
          <t>Mesure</t>
        </is>
      </c>
      <c r="C1" s="2" t="inlineStr">
        <is>
          <t>Axe</t>
        </is>
      </c>
      <c r="D1" s="2" t="inlineStr">
        <is>
          <t>Risques</t>
        </is>
      </c>
      <c r="E1" s="2" t="inlineStr">
        <is>
          <t>Responsable</t>
        </is>
      </c>
      <c r="F1" s="2" t="inlineStr">
        <is>
          <t>Freins</t>
        </is>
      </c>
      <c r="G1" s="2" t="inlineStr">
        <is>
          <t>Coût</t>
        </is>
      </c>
      <c r="H1" s="2" t="inlineStr">
        <is>
          <t>Charge</t>
        </is>
      </c>
      <c r="I1" s="2" t="inlineStr">
        <is>
          <t>Échéance (mois après T0)</t>
        </is>
      </c>
      <c r="J1" s="2" t="inlineStr">
        <is>
          <t>Priorité</t>
        </is>
      </c>
      <c r="K1" s="2" t="inlineStr">
        <is>
          <t>Priorité guide</t>
        </is>
      </c>
      <c r="L1" s="2" t="inlineStr">
        <is>
          <t>Statut</t>
        </is>
      </c>
      <c r="M1" s="2" t="inlineStr">
        <is>
          <t>Règles socle</t>
        </is>
      </c>
      <c r="N1" s="2" t="inlineStr">
        <is>
          <t>Annexe A</t>
        </is>
      </c>
      <c r="O1" s="2" t="inlineStr">
        <is>
          <t>Source</t>
        </is>
      </c>
    </row>
    <row r="2">
      <c r="A2" s="3" t="inlineStr">
        <is>
          <t>M01</t>
        </is>
      </c>
      <c r="B2" s="3" t="inlineStr">
        <is>
          <t>Sensibilisation renforcée à l'hameçonnage par un prestataire spécialisé</t>
        </is>
      </c>
      <c r="C2" s="3" t="inlineStr">
        <is>
          <t>Gouvernance</t>
        </is>
      </c>
      <c r="D2" s="3" t="inlineStr">
        <is>
          <t>R1, R7</t>
        </is>
      </c>
      <c r="E2" s="3" t="inlineStr">
        <is>
          <t>RSSI</t>
        </is>
      </c>
      <c r="F2" s="3" t="inlineStr">
        <is>
          <t>Validation du CHSCT</t>
        </is>
      </c>
      <c r="G2" s="3" t="inlineStr">
        <is>
          <t>+</t>
        </is>
      </c>
      <c r="H2" s="3" t="inlineStr"/>
      <c r="I2" s="3" t="n">
        <v>6</v>
      </c>
      <c r="J2" s="3" t="inlineStr">
        <is>
          <t>P1</t>
        </is>
      </c>
      <c r="K2" s="3" t="inlineStr"/>
      <c r="L2" s="3" t="inlineStr">
        <is>
          <t>En cours</t>
        </is>
      </c>
      <c r="M2" s="3" t="inlineStr">
        <is>
          <t>2</t>
        </is>
      </c>
      <c r="N2" s="3" t="inlineStr">
        <is>
          <t>6.3</t>
        </is>
      </c>
      <c r="O2" s="3" t="inlineStr">
        <is>
          <t>ANSSI-EBIOS p. 77</t>
        </is>
      </c>
    </row>
    <row r="3">
      <c r="A3" s="3" t="inlineStr">
        <is>
          <t>M02</t>
        </is>
      </c>
      <c r="B3" s="3" t="inlineStr">
        <is>
          <t>Audit de sécurité technique et organisationnel de l'ensemble du SI bureautique par un prestataire qualifié (PASSI)</t>
        </is>
      </c>
      <c r="C3" s="3" t="inlineStr">
        <is>
          <t>Gouvernance</t>
        </is>
      </c>
      <c r="D3" s="3" t="inlineStr">
        <is>
          <t>R1, R5, R6, R7</t>
        </is>
      </c>
      <c r="E3" s="3" t="inlineStr">
        <is>
          <t>RSSI</t>
        </is>
      </c>
      <c r="F3" s="3" t="inlineStr"/>
      <c r="G3" s="3" t="inlineStr">
        <is>
          <t>++</t>
        </is>
      </c>
      <c r="H3" s="3" t="inlineStr">
        <is>
          <t>10 j/h</t>
        </is>
      </c>
      <c r="I3" s="3" t="n">
        <v>3</v>
      </c>
      <c r="J3" s="3" t="inlineStr">
        <is>
          <t>P1</t>
        </is>
      </c>
      <c r="K3" s="3" t="inlineStr">
        <is>
          <t>P1</t>
        </is>
      </c>
      <c r="L3" s="3" t="inlineStr">
        <is>
          <t>À lancer</t>
        </is>
      </c>
      <c r="M3" s="3" t="inlineStr">
        <is>
          <t>38, 42</t>
        </is>
      </c>
      <c r="N3" s="3" t="inlineStr">
        <is>
          <t>5.35, 8.8, 8.34</t>
        </is>
      </c>
      <c r="O3" s="3" t="inlineStr">
        <is>
          <t>ANSSI-EBIOS p. 77 (échéance : Original)</t>
        </is>
      </c>
    </row>
    <row r="4">
      <c r="A4" s="3" t="inlineStr">
        <is>
          <t>M03</t>
        </is>
      </c>
      <c r="B4" s="3" t="inlineStr">
        <is>
          <t>Clause de garantie d'un niveau de sécurité satisfaisant dans les contrats avec les prestataires et les laboratoires</t>
        </is>
      </c>
      <c r="C4" s="3" t="inlineStr">
        <is>
          <t>Gouvernance</t>
        </is>
      </c>
      <c r="D4" s="3" t="inlineStr">
        <is>
          <t>R2, R3, R4, R6</t>
        </is>
      </c>
      <c r="E4" s="3" t="inlineStr">
        <is>
          <t>Équipe juridique</t>
        </is>
      </c>
      <c r="F4" s="3" t="inlineStr">
        <is>
          <t>Effectué au fil de l'eau, à la renégociation des contrats</t>
        </is>
      </c>
      <c r="G4" s="3" t="inlineStr">
        <is>
          <t>++</t>
        </is>
      </c>
      <c r="H4" s="3" t="inlineStr"/>
      <c r="I4" s="3" t="n">
        <v>18</v>
      </c>
      <c r="J4" s="3" t="inlineStr">
        <is>
          <t>P1</t>
        </is>
      </c>
      <c r="K4" s="3" t="inlineStr"/>
      <c r="L4" s="3" t="inlineStr">
        <is>
          <t>En cours</t>
        </is>
      </c>
      <c r="M4" s="3" t="inlineStr">
        <is>
          <t>3</t>
        </is>
      </c>
      <c r="N4" s="3" t="inlineStr">
        <is>
          <t>5.19, 5.20</t>
        </is>
      </c>
      <c r="O4" s="3" t="inlineStr">
        <is>
          <t>ANSSI-EBIOS p. 77</t>
        </is>
      </c>
    </row>
    <row r="5">
      <c r="A5" s="3" t="inlineStr">
        <is>
          <t>M04</t>
        </is>
      </c>
      <c r="B5" s="3" t="inlineStr">
        <is>
          <t>Procédure de signalement de tout incident de sécurité survenu chez un prestataire ou un laboratoire</t>
        </is>
      </c>
      <c r="C5" s="3" t="inlineStr">
        <is>
          <t>Gouvernance</t>
        </is>
      </c>
      <c r="D5" s="3" t="inlineStr">
        <is>
          <t>R2, R3, R4, R6</t>
        </is>
      </c>
      <c r="E5" s="3" t="inlineStr">
        <is>
          <t>RSSI / Équipe juridique</t>
        </is>
      </c>
      <c r="F5" s="3" t="inlineStr"/>
      <c r="G5" s="3" t="inlineStr">
        <is>
          <t>++</t>
        </is>
      </c>
      <c r="H5" s="3" t="inlineStr">
        <is>
          <t>5 j/h</t>
        </is>
      </c>
      <c r="I5" s="3" t="n">
        <v>6</v>
      </c>
      <c r="J5" s="3" t="inlineStr">
        <is>
          <t>P2</t>
        </is>
      </c>
      <c r="K5" s="3" t="inlineStr">
        <is>
          <t>P2</t>
        </is>
      </c>
      <c r="L5" s="3" t="inlineStr">
        <is>
          <t>À lancer</t>
        </is>
      </c>
      <c r="M5" s="3" t="inlineStr">
        <is>
          <t>3, 40</t>
        </is>
      </c>
      <c r="N5" s="3" t="inlineStr">
        <is>
          <t>5.20, 5.22, 5.24, 5.26</t>
        </is>
      </c>
      <c r="O5" s="3" t="inlineStr">
        <is>
          <t>ANSSI-EBIOS p. 77 (échéance : Original)</t>
        </is>
      </c>
    </row>
    <row r="6">
      <c r="A6" s="3" t="inlineStr">
        <is>
          <t>M05</t>
        </is>
      </c>
      <c r="B6" s="3" t="inlineStr">
        <is>
          <t>Audit de sécurité organisationnel des prestataires et laboratoires clés, mise en place et suivi des plans d'action</t>
        </is>
      </c>
      <c r="C6" s="3" t="inlineStr">
        <is>
          <t>Gouvernance</t>
        </is>
      </c>
      <c r="D6" s="3" t="inlineStr">
        <is>
          <t>R2, R3, R4, R6</t>
        </is>
      </c>
      <c r="E6" s="3" t="inlineStr">
        <is>
          <t>RSSI</t>
        </is>
      </c>
      <c r="F6" s="3" t="inlineStr">
        <is>
          <t>Acceptation de la démarche par les prestataires et laboratoires</t>
        </is>
      </c>
      <c r="G6" s="3" t="inlineStr">
        <is>
          <t>++</t>
        </is>
      </c>
      <c r="H6" s="3" t="inlineStr"/>
      <c r="I6" s="3" t="n">
        <v>6</v>
      </c>
      <c r="J6" s="3" t="inlineStr">
        <is>
          <t>P1</t>
        </is>
      </c>
      <c r="K6" s="3" t="inlineStr"/>
      <c r="L6" s="3" t="inlineStr">
        <is>
          <t>À lancer</t>
        </is>
      </c>
      <c r="M6" s="3" t="inlineStr">
        <is>
          <t>3, 38</t>
        </is>
      </c>
      <c r="N6" s="3" t="inlineStr">
        <is>
          <t>5.22, 5.35</t>
        </is>
      </c>
      <c r="O6" s="3" t="inlineStr">
        <is>
          <t>ANSSI-EBIOS p. 77</t>
        </is>
      </c>
    </row>
    <row r="7">
      <c r="A7" s="3" t="inlineStr">
        <is>
          <t>M06</t>
        </is>
      </c>
      <c r="B7" s="3" t="inlineStr">
        <is>
          <t>Limitation des données transmises aux laboratoires au juste besoin</t>
        </is>
      </c>
      <c r="C7" s="3" t="inlineStr">
        <is>
          <t>Gouvernance</t>
        </is>
      </c>
      <c r="D7" s="3" t="inlineStr">
        <is>
          <t>R2</t>
        </is>
      </c>
      <c r="E7" s="3" t="inlineStr">
        <is>
          <t>Équipe R&amp;D</t>
        </is>
      </c>
      <c r="F7" s="3" t="inlineStr"/>
      <c r="G7" s="3" t="inlineStr">
        <is>
          <t>+</t>
        </is>
      </c>
      <c r="H7" s="3" t="inlineStr"/>
      <c r="I7" s="3" t="n">
        <v>3</v>
      </c>
      <c r="J7" s="3" t="inlineStr">
        <is>
          <t>P2</t>
        </is>
      </c>
      <c r="K7" s="3" t="inlineStr"/>
      <c r="L7" s="3" t="inlineStr">
        <is>
          <t>Terminé</t>
        </is>
      </c>
      <c r="M7" s="3" t="inlineStr">
        <is>
          <t>4, 25</t>
        </is>
      </c>
      <c r="N7" s="3" t="inlineStr">
        <is>
          <t>5.12, 5.14, 8.3</t>
        </is>
      </c>
      <c r="O7" s="3" t="inlineStr">
        <is>
          <t>ANSSI-EBIOS p. 77</t>
        </is>
      </c>
    </row>
    <row r="8">
      <c r="A8" s="3" t="inlineStr">
        <is>
          <t>M07</t>
        </is>
      </c>
      <c r="B8" s="3" t="inlineStr">
        <is>
          <t>Protection renforcée des données de R&amp;D sur le SI (pistes : chiffrement, cloisonnement)</t>
        </is>
      </c>
      <c r="C8" s="3" t="inlineStr">
        <is>
          <t>Protection</t>
        </is>
      </c>
      <c r="D8" s="3" t="inlineStr">
        <is>
          <t>R1, R3, R6, R7</t>
        </is>
      </c>
      <c r="E8" s="3" t="inlineStr">
        <is>
          <t>DSI</t>
        </is>
      </c>
      <c r="F8" s="3" t="inlineStr"/>
      <c r="G8" s="3" t="inlineStr">
        <is>
          <t>+++</t>
        </is>
      </c>
      <c r="H8" s="3" t="inlineStr"/>
      <c r="I8" s="3" t="n">
        <v>9</v>
      </c>
      <c r="J8" s="3" t="inlineStr">
        <is>
          <t>P1</t>
        </is>
      </c>
      <c r="K8" s="3" t="inlineStr"/>
      <c r="L8" s="3" t="inlineStr">
        <is>
          <t>En cours</t>
        </is>
      </c>
      <c r="M8" s="3" t="inlineStr">
        <is>
          <t>9, 19</t>
        </is>
      </c>
      <c r="N8" s="3" t="inlineStr">
        <is>
          <t>8.3, 8.12, 8.22, 8.24</t>
        </is>
      </c>
      <c r="O8" s="3" t="inlineStr">
        <is>
          <t>ANSSI-EBIOS p. 77</t>
        </is>
      </c>
    </row>
    <row r="9">
      <c r="A9" s="3" t="inlineStr">
        <is>
          <t>M08</t>
        </is>
      </c>
      <c r="B9" s="3" t="inlineStr">
        <is>
          <t>Renforcement du contrôle d'accès physique au bureau R&amp;D</t>
        </is>
      </c>
      <c r="C9" s="3" t="inlineStr">
        <is>
          <t>Protection</t>
        </is>
      </c>
      <c r="D9" s="3" t="inlineStr">
        <is>
          <t>R1</t>
        </is>
      </c>
      <c r="E9" s="3" t="inlineStr">
        <is>
          <t>Équipe sûreté</t>
        </is>
      </c>
      <c r="F9" s="3" t="inlineStr"/>
      <c r="G9" s="3" t="inlineStr">
        <is>
          <t>++</t>
        </is>
      </c>
      <c r="H9" s="3" t="inlineStr"/>
      <c r="I9" s="3" t="n">
        <v>3</v>
      </c>
      <c r="J9" s="3" t="inlineStr">
        <is>
          <t>P3</t>
        </is>
      </c>
      <c r="K9" s="3" t="inlineStr"/>
      <c r="L9" s="3" t="inlineStr">
        <is>
          <t>Terminé</t>
        </is>
      </c>
      <c r="M9" s="3" t="inlineStr">
        <is>
          <t>26</t>
        </is>
      </c>
      <c r="N9" s="3" t="inlineStr">
        <is>
          <t>7.1, 7.2, 7.3</t>
        </is>
      </c>
      <c r="O9" s="3" t="inlineStr">
        <is>
          <t>ANSSI-EBIOS p. 77</t>
        </is>
      </c>
    </row>
    <row r="10">
      <c r="A10" s="3" t="inlineStr">
        <is>
          <t>M09</t>
        </is>
      </c>
      <c r="B10" s="3" t="inlineStr">
        <is>
          <t>Renforcement de la sécurité du système industriel selon les recommandations de l'ANSSI</t>
        </is>
      </c>
      <c r="C10" s="3" t="inlineStr">
        <is>
          <t>Protection</t>
        </is>
      </c>
      <c r="D10" s="3" t="inlineStr">
        <is>
          <t>R4, R5, R6, R7</t>
        </is>
      </c>
      <c r="E10" s="3" t="inlineStr">
        <is>
          <t>RSSI / DSI</t>
        </is>
      </c>
      <c r="F10" s="3" t="inlineStr">
        <is>
          <t>Stratégie et plan d'action à définir et valider</t>
        </is>
      </c>
      <c r="G10" s="3" t="inlineStr">
        <is>
          <t>+++</t>
        </is>
      </c>
      <c r="H10" s="3" t="inlineStr"/>
      <c r="I10" s="3" t="n">
        <v>12</v>
      </c>
      <c r="J10" s="3" t="inlineStr">
        <is>
          <t>P2</t>
        </is>
      </c>
      <c r="K10" s="3" t="inlineStr"/>
      <c r="L10" s="3" t="inlineStr">
        <is>
          <t>À lancer</t>
        </is>
      </c>
      <c r="M10" s="3" t="inlineStr">
        <is>
          <t>12, 19, 28, 35</t>
        </is>
      </c>
      <c r="N10" s="3" t="inlineStr">
        <is>
          <t>7.13, 8.8, 8.9, 8.22</t>
        </is>
      </c>
      <c r="O10" s="3" t="inlineStr">
        <is>
          <t>ANSSI-EBIOS p. 77 (coût : Original, le guide n'en donne pas)</t>
        </is>
      </c>
    </row>
    <row r="11">
      <c r="A11" s="3" t="inlineStr">
        <is>
          <t>M10</t>
        </is>
      </c>
      <c r="B11" s="3" t="inlineStr">
        <is>
          <t>Chiffrement des échanges de données avec les laboratoires</t>
        </is>
      </c>
      <c r="C11" s="3" t="inlineStr">
        <is>
          <t>Protection</t>
        </is>
      </c>
      <c r="D11" s="3" t="inlineStr">
        <is>
          <t>R2</t>
        </is>
      </c>
      <c r="E11" s="3" t="inlineStr">
        <is>
          <t>DSI</t>
        </is>
      </c>
      <c r="F11" s="3" t="inlineStr"/>
      <c r="G11" s="3" t="inlineStr">
        <is>
          <t>+++</t>
        </is>
      </c>
      <c r="H11" s="3" t="inlineStr"/>
      <c r="I11" s="3" t="n">
        <v>9</v>
      </c>
      <c r="J11" s="3" t="inlineStr">
        <is>
          <t>P2</t>
        </is>
      </c>
      <c r="K11" s="3" t="inlineStr"/>
      <c r="L11" s="3" t="inlineStr">
        <is>
          <t>À lancer</t>
        </is>
      </c>
      <c r="M11" s="3" t="inlineStr">
        <is>
          <t>18, 21, 25</t>
        </is>
      </c>
      <c r="N11" s="3" t="inlineStr">
        <is>
          <t>5.14, 8.21, 8.24</t>
        </is>
      </c>
      <c r="O11" s="3" t="inlineStr">
        <is>
          <t>ANSSI-EBIOS p. 77 (risque et responsable : Original, le guide n'en indique pas)</t>
        </is>
      </c>
    </row>
    <row r="12">
      <c r="A12" s="3" t="inlineStr">
        <is>
          <t>M11</t>
        </is>
      </c>
      <c r="B12" s="3" t="inlineStr">
        <is>
          <t>Surveillance renforcée des flux entrants et sortants (sonde de détection d'intrusion) et analyse des journaux d'événements à l'aide d'un outil</t>
        </is>
      </c>
      <c r="C12" s="3" t="inlineStr">
        <is>
          <t>Défense</t>
        </is>
      </c>
      <c r="D12" s="3" t="inlineStr">
        <is>
          <t>R1, R3, R6, R7</t>
        </is>
      </c>
      <c r="E12" s="3" t="inlineStr">
        <is>
          <t>DSI</t>
        </is>
      </c>
      <c r="F12" s="3" t="inlineStr">
        <is>
          <t>Achat d'un outil, budget à provisionner</t>
        </is>
      </c>
      <c r="G12" s="3" t="inlineStr">
        <is>
          <t>++</t>
        </is>
      </c>
      <c r="H12" s="3" t="inlineStr"/>
      <c r="I12" s="3" t="n">
        <v>9</v>
      </c>
      <c r="J12" s="3" t="inlineStr">
        <is>
          <t>P2</t>
        </is>
      </c>
      <c r="K12" s="3" t="inlineStr"/>
      <c r="L12" s="3" t="inlineStr">
        <is>
          <t>À lancer</t>
        </is>
      </c>
      <c r="M12" s="3" t="inlineStr">
        <is>
          <t>36</t>
        </is>
      </c>
      <c r="N12" s="3" t="inlineStr">
        <is>
          <t>8.15, 8.16, 8.17</t>
        </is>
      </c>
      <c r="O12" s="3" t="inlineStr">
        <is>
          <t>ANSSI-EBIOS p. 77</t>
        </is>
      </c>
    </row>
    <row r="13">
      <c r="A13" s="3" t="inlineStr">
        <is>
          <t>M12</t>
        </is>
      </c>
      <c r="B13" s="3" t="inlineStr">
        <is>
          <t>Renforcement du plan de continuité d'activité</t>
        </is>
      </c>
      <c r="C13" s="3" t="inlineStr">
        <is>
          <t>Résilience</t>
        </is>
      </c>
      <c r="D13" s="3" t="inlineStr">
        <is>
          <t>R4, R5, R6, R7</t>
        </is>
      </c>
      <c r="E13" s="3" t="inlineStr">
        <is>
          <t>Équipe continuité d'activité</t>
        </is>
      </c>
      <c r="F13" s="3" t="inlineStr"/>
      <c r="G13" s="3" t="inlineStr">
        <is>
          <t>++</t>
        </is>
      </c>
      <c r="H13" s="3" t="inlineStr"/>
      <c r="I13" s="3" t="n">
        <v>6</v>
      </c>
      <c r="J13" s="3" t="inlineStr">
        <is>
          <t>P2</t>
        </is>
      </c>
      <c r="K13" s="3" t="inlineStr"/>
      <c r="L13" s="3" t="inlineStr">
        <is>
          <t>En cours</t>
        </is>
      </c>
      <c r="M13" s="3" t="inlineStr">
        <is>
          <t>37</t>
        </is>
      </c>
      <c r="N13" s="3" t="inlineStr">
        <is>
          <t>5.29, 5.30, 8.14</t>
        </is>
      </c>
      <c r="O13" s="3" t="inlineStr">
        <is>
          <t>ANSSI-EBIOS p. 77</t>
        </is>
      </c>
    </row>
    <row r="14">
      <c r="A14" s="3" t="inlineStr">
        <is>
          <t>M13</t>
        </is>
      </c>
      <c r="B14" s="3" t="inlineStr">
        <is>
          <t>Dotation de matériels de maintenance administrés par la DSI et mis à disposition du fournisseur de matériel sur site</t>
        </is>
      </c>
      <c r="C14" s="3" t="inlineStr">
        <is>
          <t>Protection</t>
        </is>
      </c>
      <c r="D14" s="3" t="inlineStr">
        <is>
          <t>R4</t>
        </is>
      </c>
      <c r="E14" s="3" t="inlineStr">
        <is>
          <t>DSI</t>
        </is>
      </c>
      <c r="F14" s="3" t="inlineStr"/>
      <c r="G14" s="3" t="inlineStr">
        <is>
          <t>++</t>
        </is>
      </c>
      <c r="H14" s="3" t="inlineStr">
        <is>
          <t>10 j/h</t>
        </is>
      </c>
      <c r="I14" s="3" t="n">
        <v>9</v>
      </c>
      <c r="J14" s="3" t="inlineStr">
        <is>
          <t>P2</t>
        </is>
      </c>
      <c r="K14" s="3" t="inlineStr"/>
      <c r="L14" s="3" t="inlineStr">
        <is>
          <t>À lancer</t>
        </is>
      </c>
      <c r="M14" s="3" t="inlineStr">
        <is>
          <t>7</t>
        </is>
      </c>
      <c r="N14" s="3" t="inlineStr">
        <is>
          <t>5.21, 8.1, 8.19</t>
        </is>
      </c>
      <c r="O14" s="3" t="inlineStr">
        <is>
          <t>ANSSI-EBIOS p. 54 (coût, charge, échéance : Original)</t>
        </is>
      </c>
    </row>
    <row r="15">
      <c r="A15" s="3" t="inlineStr">
        <is>
          <t>N01</t>
        </is>
      </c>
      <c r="B15" s="3" t="inlineStr">
        <is>
          <t>Cloisonnement des réseaux : bureautique, R&amp;D, production, traçabilité, administration, invités</t>
        </is>
      </c>
      <c r="C15" s="3" t="inlineStr">
        <is>
          <t>Protection</t>
        </is>
      </c>
      <c r="D15" s="3" t="inlineStr">
        <is>
          <t>R1, R6, R7</t>
        </is>
      </c>
      <c r="E15" s="3" t="inlineStr">
        <is>
          <t>DSI</t>
        </is>
      </c>
      <c r="F15" s="3" t="inlineStr">
        <is>
          <t>Interruptions de service à planifier</t>
        </is>
      </c>
      <c r="G15" s="3" t="inlineStr">
        <is>
          <t>+++</t>
        </is>
      </c>
      <c r="H15" s="3" t="inlineStr">
        <is>
          <t>60 j/h</t>
        </is>
      </c>
      <c r="I15" s="3" t="n">
        <v>12</v>
      </c>
      <c r="J15" s="3" t="inlineStr">
        <is>
          <t>P1</t>
        </is>
      </c>
      <c r="K15" s="3" t="inlineStr"/>
      <c r="L15" s="3" t="inlineStr">
        <is>
          <t>À lancer</t>
        </is>
      </c>
      <c r="M15" s="3" t="inlineStr">
        <is>
          <t>19, 20, 23, 28</t>
        </is>
      </c>
      <c r="N15" s="3" t="inlineStr">
        <is>
          <t>8.20, 8.22</t>
        </is>
      </c>
      <c r="O15" s="3" t="inlineStr">
        <is>
          <t>Original</t>
        </is>
      </c>
    </row>
    <row r="16">
      <c r="A16" s="3" t="inlineStr">
        <is>
          <t>N02</t>
        </is>
      </c>
      <c r="B16" s="3" t="inlineStr">
        <is>
          <t>Politique de mise à jour et de gestion des correctifs, avec suivi de la fin de maintenance</t>
        </is>
      </c>
      <c r="C16" s="3" t="inlineStr">
        <is>
          <t>Protection</t>
        </is>
      </c>
      <c r="D16" s="3" t="inlineStr">
        <is>
          <t>R1, R6, R7</t>
        </is>
      </c>
      <c r="E16" s="3" t="inlineStr">
        <is>
          <t>DSI</t>
        </is>
      </c>
      <c r="F16" s="3" t="inlineStr">
        <is>
          <t>Fenêtres de maintenance des systèmes de production</t>
        </is>
      </c>
      <c r="G16" s="3" t="inlineStr">
        <is>
          <t>++</t>
        </is>
      </c>
      <c r="H16" s="3" t="inlineStr">
        <is>
          <t>20 j/h</t>
        </is>
      </c>
      <c r="I16" s="3" t="n">
        <v>6</v>
      </c>
      <c r="J16" s="3" t="inlineStr">
        <is>
          <t>P1</t>
        </is>
      </c>
      <c r="K16" s="3" t="inlineStr"/>
      <c r="L16" s="3" t="inlineStr">
        <is>
          <t>À lancer</t>
        </is>
      </c>
      <c r="M16" s="3" t="inlineStr">
        <is>
          <t>14, 34, 35</t>
        </is>
      </c>
      <c r="N16" s="3" t="inlineStr">
        <is>
          <t>8.8, 8.19</t>
        </is>
      </c>
      <c r="O16" s="3" t="inlineStr">
        <is>
          <t>Original</t>
        </is>
      </c>
    </row>
    <row r="17">
      <c r="A17" s="3" t="inlineStr">
        <is>
          <t>N03</t>
        </is>
      </c>
      <c r="B17" s="3" t="inlineStr">
        <is>
          <t>Blocage par défaut des supports amovibles et des ports USB, avec dérogations validées</t>
        </is>
      </c>
      <c r="C17" s="3" t="inlineStr">
        <is>
          <t>Protection</t>
        </is>
      </c>
      <c r="D17" s="3" t="inlineStr">
        <is>
          <t>R1, R7</t>
        </is>
      </c>
      <c r="E17" s="3" t="inlineStr">
        <is>
          <t>DSI</t>
        </is>
      </c>
      <c r="F17" s="3" t="inlineStr">
        <is>
          <t>Usages en laboratoire à recenser</t>
        </is>
      </c>
      <c r="G17" s="3" t="inlineStr">
        <is>
          <t>+</t>
        </is>
      </c>
      <c r="H17" s="3" t="inlineStr">
        <is>
          <t>5 j/h</t>
        </is>
      </c>
      <c r="I17" s="3" t="n">
        <v>3</v>
      </c>
      <c r="J17" s="3" t="inlineStr">
        <is>
          <t>P1</t>
        </is>
      </c>
      <c r="K17" s="3" t="inlineStr"/>
      <c r="L17" s="3" t="inlineStr">
        <is>
          <t>À lancer</t>
        </is>
      </c>
      <c r="M17" s="3" t="inlineStr">
        <is>
          <t>15</t>
        </is>
      </c>
      <c r="N17" s="3" t="inlineStr">
        <is>
          <t>7.10</t>
        </is>
      </c>
      <c r="O17" s="3" t="inlineStr">
        <is>
          <t>Original</t>
        </is>
      </c>
    </row>
    <row r="18">
      <c r="A18" s="3" t="inlineStr">
        <is>
          <t>N04</t>
        </is>
      </c>
      <c r="B18" s="3" t="inlineStr">
        <is>
          <t>Authentification forte pour les administrateurs, les accès distants et les prestataires ; comptes nominatifs ; coffre-fort de mots de passe</t>
        </is>
      </c>
      <c r="C18" s="3" t="inlineStr">
        <is>
          <t>Protection</t>
        </is>
      </c>
      <c r="D18" s="3" t="inlineStr">
        <is>
          <t>R3, R6, R7</t>
        </is>
      </c>
      <c r="E18" s="3" t="inlineStr">
        <is>
          <t>RSSI</t>
        </is>
      </c>
      <c r="F18" s="3" t="inlineStr">
        <is>
          <t>Compte administrateur non nominatif de l'ERP</t>
        </is>
      </c>
      <c r="G18" s="3" t="inlineStr">
        <is>
          <t>++</t>
        </is>
      </c>
      <c r="H18" s="3" t="inlineStr">
        <is>
          <t>15 j/h</t>
        </is>
      </c>
      <c r="I18" s="3" t="n">
        <v>4</v>
      </c>
      <c r="J18" s="3" t="inlineStr">
        <is>
          <t>P1</t>
        </is>
      </c>
      <c r="K18" s="3" t="inlineStr"/>
      <c r="L18" s="3" t="inlineStr">
        <is>
          <t>À lancer</t>
        </is>
      </c>
      <c r="M18" s="3" t="inlineStr">
        <is>
          <t>8, 10, 11, 13, 32</t>
        </is>
      </c>
      <c r="N18" s="3" t="inlineStr">
        <is>
          <t>5.16, 5.17, 8.2, 8.5</t>
        </is>
      </c>
      <c r="O18" s="3" t="inlineStr">
        <is>
          <t>Original</t>
        </is>
      </c>
    </row>
    <row r="19">
      <c r="A19" s="3" t="inlineStr">
        <is>
          <t>N05</t>
        </is>
      </c>
      <c r="B19" s="3" t="inlineStr">
        <is>
          <t>Encadrement des accès du prestataire informatique : moindre privilège, comptes nominatifs, sessions enregistrées et limitées dans le temps</t>
        </is>
      </c>
      <c r="C19" s="3" t="inlineStr">
        <is>
          <t>Protection</t>
        </is>
      </c>
      <c r="D19" s="3" t="inlineStr">
        <is>
          <t>R3, R6</t>
        </is>
      </c>
      <c r="E19" s="3" t="inlineStr">
        <is>
          <t>DSI</t>
        </is>
      </c>
      <c r="F19" s="3" t="inlineStr">
        <is>
          <t>Résistance du prestataire aux changements de méthode de travail</t>
        </is>
      </c>
      <c r="G19" s="3" t="inlineStr">
        <is>
          <t>++</t>
        </is>
      </c>
      <c r="H19" s="3" t="inlineStr">
        <is>
          <t>15 j/h</t>
        </is>
      </c>
      <c r="I19" s="3" t="n">
        <v>6</v>
      </c>
      <c r="J19" s="3" t="inlineStr">
        <is>
          <t>P1</t>
        </is>
      </c>
      <c r="K19" s="3" t="inlineStr"/>
      <c r="L19" s="3" t="inlineStr">
        <is>
          <t>À lancer</t>
        </is>
      </c>
      <c r="M19" s="3" t="inlineStr">
        <is>
          <t>5, 8, 9</t>
        </is>
      </c>
      <c r="N19" s="3" t="inlineStr">
        <is>
          <t>5.3, 5.15, 5.18, 8.2, 5.19</t>
        </is>
      </c>
      <c r="O19" s="3" t="inlineStr">
        <is>
          <t>Original</t>
        </is>
      </c>
    </row>
    <row r="20">
      <c r="A20" s="3" t="inlineStr">
        <is>
          <t>N06</t>
        </is>
      </c>
      <c r="B20" s="3" t="inlineStr">
        <is>
          <t>Politique de sauvegarde avec copies hors ligne et tests de restauration réguliers</t>
        </is>
      </c>
      <c r="C20" s="3" t="inlineStr">
        <is>
          <t>Résilience</t>
        </is>
      </c>
      <c r="D20" s="3" t="inlineStr">
        <is>
          <t>R4, R6, R7</t>
        </is>
      </c>
      <c r="E20" s="3" t="inlineStr">
        <is>
          <t>DSI</t>
        </is>
      </c>
      <c r="F20" s="3" t="inlineStr">
        <is>
          <t>Politique en cours de rédaction</t>
        </is>
      </c>
      <c r="G20" s="3" t="inlineStr">
        <is>
          <t>++</t>
        </is>
      </c>
      <c r="H20" s="3" t="inlineStr">
        <is>
          <t>25 j/h</t>
        </is>
      </c>
      <c r="I20" s="3" t="n">
        <v>6</v>
      </c>
      <c r="J20" s="3" t="inlineStr">
        <is>
          <t>P1</t>
        </is>
      </c>
      <c r="K20" s="3" t="inlineStr"/>
      <c r="L20" s="3" t="inlineStr">
        <is>
          <t>À lancer</t>
        </is>
      </c>
      <c r="M20" s="3" t="inlineStr">
        <is>
          <t>37</t>
        </is>
      </c>
      <c r="N20" s="3" t="inlineStr">
        <is>
          <t>5.30, 8.13</t>
        </is>
      </c>
      <c r="O20" s="3" t="inlineStr">
        <is>
          <t>Original</t>
        </is>
      </c>
    </row>
    <row r="21">
      <c r="A21" s="3" t="inlineStr">
        <is>
          <t>N07</t>
        </is>
      </c>
      <c r="B21" s="3" t="inlineStr">
        <is>
          <t>Protection des postes et terminaux : sécurité minimale, gestion centralisée, chiffrement des disques, pare-feu local, filtrage de la messagerie et du web, droits d'administration limités</t>
        </is>
      </c>
      <c r="C21" s="3" t="inlineStr">
        <is>
          <t>Protection</t>
        </is>
      </c>
      <c r="D21" s="3" t="inlineStr">
        <is>
          <t>R1, R6, R7</t>
        </is>
      </c>
      <c r="E21" s="3" t="inlineStr">
        <is>
          <t>DSI</t>
        </is>
      </c>
      <c r="F21" s="3" t="inlineStr">
        <is>
          <t>Parc hétérogène</t>
        </is>
      </c>
      <c r="G21" s="3" t="inlineStr">
        <is>
          <t>+++</t>
        </is>
      </c>
      <c r="H21" s="3" t="inlineStr">
        <is>
          <t>40 j/h</t>
        </is>
      </c>
      <c r="I21" s="3" t="n">
        <v>9</v>
      </c>
      <c r="J21" s="3" t="inlineStr">
        <is>
          <t>P1</t>
        </is>
      </c>
      <c r="K21" s="3" t="inlineStr"/>
      <c r="L21" s="3" t="inlineStr">
        <is>
          <t>À lancer</t>
        </is>
      </c>
      <c r="M21" s="3" t="inlineStr">
        <is>
          <t>14, 16, 17, 22, 24, 27, 29, 30, 31, 33</t>
        </is>
      </c>
      <c r="N21" s="3" t="inlineStr">
        <is>
          <t>7.9, 8.1, 8.7, 8.9, 8.18, 8.23, 8.24</t>
        </is>
      </c>
      <c r="O21" s="3" t="inlineStr">
        <is>
          <t>Original</t>
        </is>
      </c>
    </row>
    <row r="22">
      <c r="A22" s="3" t="inlineStr">
        <is>
          <t>N08</t>
        </is>
      </c>
      <c r="B22" s="3" t="inlineStr">
        <is>
          <t>Procédure de gestion des incidents de sécurité et exercice de crise cyber annuel</t>
        </is>
      </c>
      <c r="C22" s="3" t="inlineStr">
        <is>
          <t>Défense</t>
        </is>
      </c>
      <c r="D22" s="3" t="inlineStr">
        <is>
          <t>R4, R6, R7</t>
        </is>
      </c>
      <c r="E22" s="3" t="inlineStr">
        <is>
          <t>RSSI</t>
        </is>
      </c>
      <c r="F22" s="3" t="inlineStr"/>
      <c r="G22" s="3" t="inlineStr">
        <is>
          <t>+</t>
        </is>
      </c>
      <c r="H22" s="3" t="inlineStr">
        <is>
          <t>15 j/h</t>
        </is>
      </c>
      <c r="I22" s="3" t="n">
        <v>6</v>
      </c>
      <c r="J22" s="3" t="inlineStr">
        <is>
          <t>P2</t>
        </is>
      </c>
      <c r="K22" s="3" t="inlineStr"/>
      <c r="L22" s="3" t="inlineStr">
        <is>
          <t>À lancer</t>
        </is>
      </c>
      <c r="M22" s="3" t="inlineStr">
        <is>
          <t>40</t>
        </is>
      </c>
      <c r="N22" s="3" t="inlineStr">
        <is>
          <t>5.24, 5.25, 5.26, 5.27, 5.28, 6.8</t>
        </is>
      </c>
      <c r="O22" s="3" t="inlineStr">
        <is>
          <t>Original</t>
        </is>
      </c>
    </row>
    <row r="23">
      <c r="A23" s="3" t="inlineStr">
        <is>
          <t>N09</t>
        </is>
      </c>
      <c r="B23" s="3" t="inlineStr">
        <is>
          <t>Gouvernance du SMSI : politique de sécurité, rôles, revue de direction, audit interne, indicateurs</t>
        </is>
      </c>
      <c r="C23" s="3" t="inlineStr">
        <is>
          <t>Gouvernance</t>
        </is>
      </c>
      <c r="D23" s="3" t="inlineStr">
        <is>
          <t>R1, R2, R3, R4, R5, R6, R7</t>
        </is>
      </c>
      <c r="E23" s="3" t="inlineStr">
        <is>
          <t>Direction générale</t>
        </is>
      </c>
      <c r="F23" s="3" t="inlineStr">
        <is>
          <t>Disponibilité de la direction</t>
        </is>
      </c>
      <c r="G23" s="3" t="inlineStr">
        <is>
          <t>++</t>
        </is>
      </c>
      <c r="H23" s="3" t="inlineStr">
        <is>
          <t>40 j/h</t>
        </is>
      </c>
      <c r="I23" s="3" t="n">
        <v>6</v>
      </c>
      <c r="J23" s="3" t="inlineStr">
        <is>
          <t>P1</t>
        </is>
      </c>
      <c r="K23" s="3" t="inlineStr"/>
      <c r="L23" s="3" t="inlineStr">
        <is>
          <t>À lancer</t>
        </is>
      </c>
      <c r="M23" s="3" t="inlineStr">
        <is>
          <t>39, 41</t>
        </is>
      </c>
      <c r="N23" s="3" t="inlineStr">
        <is>
          <t>5.1, 5.2, 5.4, 5.35, 5.36</t>
        </is>
      </c>
      <c r="O23" s="3" t="inlineStr">
        <is>
          <t>Original</t>
        </is>
      </c>
    </row>
    <row r="24">
      <c r="A24" s="3" t="inlineStr">
        <is>
          <t>N10</t>
        </is>
      </c>
      <c r="B24" s="3" t="inlineStr">
        <is>
          <t>Intégrité de l'étiquetage et des données de traçabilité : double contrôle, contrôle d'accès en écriture, signature des lots</t>
        </is>
      </c>
      <c r="C24" s="3" t="inlineStr">
        <is>
          <t>Protection</t>
        </is>
      </c>
      <c r="D24" s="3" t="inlineStr">
        <is>
          <t>R5</t>
        </is>
      </c>
      <c r="E24" s="3" t="inlineStr">
        <is>
          <t>Responsable qualité</t>
        </is>
      </c>
      <c r="F24" s="3" t="inlineStr">
        <is>
          <t>Validation réglementaire du procédé</t>
        </is>
      </c>
      <c r="G24" s="3" t="inlineStr">
        <is>
          <t>++</t>
        </is>
      </c>
      <c r="H24" s="3" t="inlineStr">
        <is>
          <t>15 j/h</t>
        </is>
      </c>
      <c r="I24" s="3" t="n">
        <v>9</v>
      </c>
      <c r="J24" s="3" t="inlineStr">
        <is>
          <t>P2</t>
        </is>
      </c>
      <c r="K24" s="3" t="inlineStr"/>
      <c r="L24" s="3" t="inlineStr">
        <is>
          <t>À lancer</t>
        </is>
      </c>
      <c r="M24" s="3" t="inlineStr">
        <is>
          <t>9</t>
        </is>
      </c>
      <c r="N24" s="3" t="inlineStr">
        <is>
          <t>8.3, 8.15, 8.24</t>
        </is>
      </c>
      <c r="O24" s="3" t="inlineStr">
        <is>
          <t>Original</t>
        </is>
      </c>
    </row>
    <row r="25">
      <c r="A25" s="3" t="inlineStr">
        <is>
          <t>N11</t>
        </is>
      </c>
      <c r="B25" s="3" t="inlineStr">
        <is>
          <t>Inventaire des actifs et des comptes privilégiés, revue périodique des droits, procédure arrivée-départ-mobilité liée aux accès</t>
        </is>
      </c>
      <c r="C25" s="3" t="inlineStr">
        <is>
          <t>Gouvernance</t>
        </is>
      </c>
      <c r="D25" s="3" t="inlineStr">
        <is>
          <t>R3, R6</t>
        </is>
      </c>
      <c r="E25" s="3" t="inlineStr">
        <is>
          <t>DSI</t>
        </is>
      </c>
      <c r="F25" s="3" t="inlineStr"/>
      <c r="G25" s="3" t="inlineStr">
        <is>
          <t>+</t>
        </is>
      </c>
      <c r="H25" s="3" t="inlineStr">
        <is>
          <t>10 j/h</t>
        </is>
      </c>
      <c r="I25" s="3" t="n">
        <v>6</v>
      </c>
      <c r="J25" s="3" t="inlineStr">
        <is>
          <t>P1</t>
        </is>
      </c>
      <c r="K25" s="3" t="inlineStr"/>
      <c r="L25" s="3" t="inlineStr">
        <is>
          <t>À lancer</t>
        </is>
      </c>
      <c r="M25" s="3" t="inlineStr">
        <is>
          <t>4, 5, 6, 7</t>
        </is>
      </c>
      <c r="N25" s="3" t="inlineStr">
        <is>
          <t>5.9, 5.11, 5.18, 6.5, 8.2</t>
        </is>
      </c>
      <c r="O25" s="3" t="inlineStr">
        <is>
          <t>Original</t>
        </is>
      </c>
    </row>
    <row r="26">
      <c r="A26" s="3" t="inlineStr">
        <is>
          <t>N12</t>
        </is>
      </c>
      <c r="B26" s="3" t="inlineStr">
        <is>
          <t>Protection des données personnelles : registre des traitements, DPO, information des participants aux essais cliniques</t>
        </is>
      </c>
      <c r="C26" s="3" t="inlineStr">
        <is>
          <t>Gouvernance</t>
        </is>
      </c>
      <c r="D26" s="3" t="inlineStr">
        <is>
          <t>ER9</t>
        </is>
      </c>
      <c r="E26" s="3" t="inlineStr">
        <is>
          <t>DPO</t>
        </is>
      </c>
      <c r="F26" s="3" t="inlineStr"/>
      <c r="G26" s="3" t="inlineStr">
        <is>
          <t>+</t>
        </is>
      </c>
      <c r="H26" s="3" t="inlineStr">
        <is>
          <t>10 j/h</t>
        </is>
      </c>
      <c r="I26" s="3" t="n">
        <v>12</v>
      </c>
      <c r="J26" s="3" t="inlineStr">
        <is>
          <t>P3</t>
        </is>
      </c>
      <c r="K26" s="3" t="inlineStr"/>
      <c r="L26" s="3" t="inlineStr">
        <is>
          <t>À lancer</t>
        </is>
      </c>
      <c r="M26" s="3" t="inlineStr"/>
      <c r="N26" s="3" t="inlineStr">
        <is>
          <t>5.31, 5.33, 5.34</t>
        </is>
      </c>
      <c r="O26" s="3" t="inlineStr">
        <is>
          <t>Original</t>
        </is>
      </c>
    </row>
    <row r="27">
      <c r="A27" s="3" t="inlineStr">
        <is>
          <t>N13</t>
        </is>
      </c>
      <c r="B27" s="3" t="inlineStr">
        <is>
          <t>Formation sécurité des équipes de la DSI et de la production, dont les systèmes industriels</t>
        </is>
      </c>
      <c r="C27" s="3" t="inlineStr">
        <is>
          <t>Gouvernance</t>
        </is>
      </c>
      <c r="D27" s="3" t="inlineStr">
        <is>
          <t>R4, R6, R7</t>
        </is>
      </c>
      <c r="E27" s="3" t="inlineStr">
        <is>
          <t>RSSI</t>
        </is>
      </c>
      <c r="F27" s="3" t="inlineStr"/>
      <c r="G27" s="3" t="inlineStr">
        <is>
          <t>+</t>
        </is>
      </c>
      <c r="H27" s="3" t="inlineStr">
        <is>
          <t>10 j/h</t>
        </is>
      </c>
      <c r="I27" s="3" t="n">
        <v>9</v>
      </c>
      <c r="J27" s="3" t="inlineStr">
        <is>
          <t>P3</t>
        </is>
      </c>
      <c r="K27" s="3" t="inlineStr"/>
      <c r="L27" s="3" t="inlineStr">
        <is>
          <t>À lancer</t>
        </is>
      </c>
      <c r="M27" s="3" t="inlineStr">
        <is>
          <t>1</t>
        </is>
      </c>
      <c r="N27" s="3" t="inlineStr">
        <is>
          <t>6.3</t>
        </is>
      </c>
      <c r="O27" s="3" t="inlineStr">
        <is>
          <t>Original</t>
        </is>
      </c>
    </row>
  </sheetData>
  <autoFilter ref="A1:O2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4"/>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10" customWidth="1" min="3" max="3"/>
    <col width="12" customWidth="1" min="4" max="4"/>
    <col width="10" customWidth="1" min="5" max="5"/>
    <col width="15" customWidth="1" min="6" max="6"/>
    <col width="80" customWidth="1" min="7" max="7"/>
    <col width="17" customWidth="1" min="8" max="8"/>
    <col width="10" customWidth="1" min="9" max="9"/>
    <col width="24" customWidth="1" min="10" max="10"/>
  </cols>
  <sheetData>
    <row r="1">
      <c r="A1" s="2" t="inlineStr">
        <is>
          <t>N°</t>
        </is>
      </c>
      <c r="B1" s="2" t="inlineStr">
        <is>
          <t>Mesure</t>
        </is>
      </c>
      <c r="C1" s="2" t="inlineStr">
        <is>
          <t>Thème</t>
        </is>
      </c>
      <c r="D1" s="2" t="inlineStr">
        <is>
          <t>Applicable</t>
        </is>
      </c>
      <c r="E1" s="2" t="inlineStr">
        <is>
          <t>Statut</t>
        </is>
      </c>
      <c r="F1" s="2" t="inlineStr">
        <is>
          <t>Base du choix</t>
        </is>
      </c>
      <c r="G1" s="2" t="inlineStr">
        <is>
          <t>Justification</t>
        </is>
      </c>
      <c r="H1" s="2" t="inlineStr">
        <is>
          <t>Mesures du plan</t>
        </is>
      </c>
      <c r="I1" s="2" t="inlineStr">
        <is>
          <t>Risques</t>
        </is>
      </c>
      <c r="J1" s="2" t="inlineStr">
        <is>
          <t>Exclusion approuvée par</t>
        </is>
      </c>
    </row>
    <row r="2">
      <c r="A2" s="3" t="inlineStr">
        <is>
          <t>5.1</t>
        </is>
      </c>
      <c r="B2" s="3" t="inlineStr">
        <is>
          <t>Politiques de sécurité de l'information</t>
        </is>
      </c>
      <c r="C2" s="3" t="inlineStr">
        <is>
          <t>organisationnel</t>
        </is>
      </c>
      <c r="D2" s="3" t="inlineStr">
        <is>
          <t>Oui</t>
        </is>
      </c>
      <c r="E2" s="3" t="inlineStr">
        <is>
          <t>À mettre en œuvre</t>
        </is>
      </c>
      <c r="F2" s="3" t="inlineStr">
        <is>
          <t>risque</t>
        </is>
      </c>
      <c r="G2" s="3" t="inlineStr">
        <is>
          <t>Retenue pour traiter R1, R2, R3, R4, R5, R6, R7.</t>
        </is>
      </c>
      <c r="H2" s="3" t="inlineStr">
        <is>
          <t>N09</t>
        </is>
      </c>
      <c r="I2" s="3" t="inlineStr">
        <is>
          <t>R1, R2, R3, R4, R5, R6, R7</t>
        </is>
      </c>
      <c r="J2" s="3" t="inlineStr"/>
    </row>
    <row r="3">
      <c r="A3" s="3" t="inlineStr">
        <is>
          <t>5.2</t>
        </is>
      </c>
      <c r="B3" s="3" t="inlineStr">
        <is>
          <t>Fonctions et responsabilités liées à la sécurité de l'information</t>
        </is>
      </c>
      <c r="C3" s="3" t="inlineStr">
        <is>
          <t>organisationnel</t>
        </is>
      </c>
      <c r="D3" s="3" t="inlineStr">
        <is>
          <t>Oui</t>
        </is>
      </c>
      <c r="E3" s="3" t="inlineStr">
        <is>
          <t>Partielle</t>
        </is>
      </c>
      <c r="F3" s="3" t="inlineStr">
        <is>
          <t>risque, socle</t>
        </is>
      </c>
      <c r="G3" s="3" t="inlineStr">
        <is>
          <t>Retenue pour traiter R1, R2, R3, R4, R5, R6, R7 ; corrige l'écart à la règle 39 du Guide d'hygiène.</t>
        </is>
      </c>
      <c r="H3" s="3" t="inlineStr">
        <is>
          <t>N09</t>
        </is>
      </c>
      <c r="I3" s="3" t="inlineStr">
        <is>
          <t>R1, R2, R3, R4, R5, R6, R7</t>
        </is>
      </c>
      <c r="J3" s="3" t="inlineStr"/>
    </row>
    <row r="4">
      <c r="A4" s="3" t="inlineStr">
        <is>
          <t>5.3</t>
        </is>
      </c>
      <c r="B4" s="3" t="inlineStr">
        <is>
          <t>Séparation des tâches</t>
        </is>
      </c>
      <c r="C4" s="3" t="inlineStr">
        <is>
          <t>organisationnel</t>
        </is>
      </c>
      <c r="D4" s="3" t="inlineStr">
        <is>
          <t>Oui</t>
        </is>
      </c>
      <c r="E4" s="3" t="inlineStr">
        <is>
          <t>À mettre en œuvre</t>
        </is>
      </c>
      <c r="F4" s="3" t="inlineStr">
        <is>
          <t>risque</t>
        </is>
      </c>
      <c r="G4" s="3" t="inlineStr">
        <is>
          <t>Retenue pour traiter R3, R6.</t>
        </is>
      </c>
      <c r="H4" s="3" t="inlineStr">
        <is>
          <t>N05</t>
        </is>
      </c>
      <c r="I4" s="3" t="inlineStr">
        <is>
          <t>R3, R6</t>
        </is>
      </c>
      <c r="J4" s="3" t="inlineStr"/>
    </row>
    <row r="5">
      <c r="A5" s="3" t="inlineStr">
        <is>
          <t>5.4</t>
        </is>
      </c>
      <c r="B5" s="3" t="inlineStr">
        <is>
          <t>Responsabilités de la direction</t>
        </is>
      </c>
      <c r="C5" s="3" t="inlineStr">
        <is>
          <t>organisationnel</t>
        </is>
      </c>
      <c r="D5" s="3" t="inlineStr">
        <is>
          <t>Oui</t>
        </is>
      </c>
      <c r="E5" s="3" t="inlineStr">
        <is>
          <t>À mettre en œuvre</t>
        </is>
      </c>
      <c r="F5" s="3" t="inlineStr">
        <is>
          <t>risque</t>
        </is>
      </c>
      <c r="G5" s="3" t="inlineStr">
        <is>
          <t>Retenue pour traiter R1, R2, R3, R4, R5, R6, R7.</t>
        </is>
      </c>
      <c r="H5" s="3" t="inlineStr">
        <is>
          <t>N09</t>
        </is>
      </c>
      <c r="I5" s="3" t="inlineStr">
        <is>
          <t>R1, R2, R3, R4, R5, R6, R7</t>
        </is>
      </c>
      <c r="J5" s="3" t="inlineStr"/>
    </row>
    <row r="6">
      <c r="A6" s="3" t="inlineStr">
        <is>
          <t>5.5</t>
        </is>
      </c>
      <c r="B6" s="3" t="inlineStr">
        <is>
          <t>Contacts avec les autorités</t>
        </is>
      </c>
      <c r="C6" s="3" t="inlineStr">
        <is>
          <t>organisationnel</t>
        </is>
      </c>
      <c r="D6" s="3" t="inlineStr">
        <is>
          <t>Oui</t>
        </is>
      </c>
      <c r="E6" s="3" t="inlineStr">
        <is>
          <t>À mettre en œuvre</t>
        </is>
      </c>
      <c r="F6" s="3" t="inlineStr">
        <is>
          <t>légal</t>
        </is>
      </c>
      <c r="G6" s="3" t="inlineStr">
        <is>
          <t>Établir les contacts pour notifier un incident : ANSSI et CERT-FR, autorités sanitaires, CNIL.</t>
        </is>
      </c>
      <c r="H6" s="3" t="inlineStr"/>
      <c r="I6" s="3" t="inlineStr"/>
      <c r="J6" s="3" t="inlineStr"/>
    </row>
    <row r="7">
      <c r="A7" s="3" t="inlineStr">
        <is>
          <t>5.6</t>
        </is>
      </c>
      <c r="B7" s="3" t="inlineStr">
        <is>
          <t>Contacts avec des groupes de spécialistes</t>
        </is>
      </c>
      <c r="C7" s="3" t="inlineStr">
        <is>
          <t>organisationnel</t>
        </is>
      </c>
      <c r="D7" s="3" t="inlineStr">
        <is>
          <t>Oui</t>
        </is>
      </c>
      <c r="E7" s="3" t="inlineStr">
        <is>
          <t>À mettre en œuvre</t>
        </is>
      </c>
      <c r="F7" s="3" t="inlineStr">
        <is>
          <t>bonne pratique</t>
        </is>
      </c>
      <c r="G7" s="3" t="inlineStr">
        <is>
          <t>Rejoindre une communauté de veille du secteur santé et pharmaceutique.</t>
        </is>
      </c>
      <c r="H7" s="3" t="inlineStr"/>
      <c r="I7" s="3" t="inlineStr"/>
      <c r="J7" s="3" t="inlineStr"/>
    </row>
    <row r="8">
      <c r="A8" s="3" t="inlineStr">
        <is>
          <t>5.7</t>
        </is>
      </c>
      <c r="B8" s="3" t="inlineStr">
        <is>
          <t>Renseignement sur les menaces</t>
        </is>
      </c>
      <c r="C8" s="3" t="inlineStr">
        <is>
          <t>organisationnel</t>
        </is>
      </c>
      <c r="D8" s="3" t="inlineStr">
        <is>
          <t>Oui</t>
        </is>
      </c>
      <c r="E8" s="3" t="inlineStr">
        <is>
          <t>À mettre en œuvre</t>
        </is>
      </c>
      <c r="F8" s="3" t="inlineStr">
        <is>
          <t>bonne pratique</t>
        </is>
      </c>
      <c r="G8" s="3" t="inlineStr">
        <is>
          <t>Veille sur la menace cybercriminelle et activiste, que la direction demande de surveiller (guide EBIOS RM p. 81).</t>
        </is>
      </c>
      <c r="H8" s="3" t="inlineStr"/>
      <c r="I8" s="3" t="inlineStr"/>
      <c r="J8" s="3" t="inlineStr"/>
    </row>
    <row r="9">
      <c r="A9" s="3" t="inlineStr">
        <is>
          <t>5.8</t>
        </is>
      </c>
      <c r="B9" s="3" t="inlineStr">
        <is>
          <t>Sécurité de l'information dans la gestion de projet</t>
        </is>
      </c>
      <c r="C9" s="3" t="inlineStr">
        <is>
          <t>organisationnel</t>
        </is>
      </c>
      <c r="D9" s="3" t="inlineStr">
        <is>
          <t>Oui</t>
        </is>
      </c>
      <c r="E9" s="3" t="inlineStr">
        <is>
          <t>À mettre en œuvre</t>
        </is>
      </c>
      <c r="F9" s="3" t="inlineStr">
        <is>
          <t>bonne pratique</t>
        </is>
      </c>
      <c r="G9" s="3" t="inlineStr">
        <is>
          <t>Intégrer la sécurité dans les projets, dont la modernisation des systèmes industriels.</t>
        </is>
      </c>
      <c r="H9" s="3" t="inlineStr"/>
      <c r="I9" s="3" t="inlineStr"/>
      <c r="J9" s="3" t="inlineStr"/>
    </row>
    <row r="10">
      <c r="A10" s="3" t="inlineStr">
        <is>
          <t>5.9</t>
        </is>
      </c>
      <c r="B10" s="3" t="inlineStr">
        <is>
          <t>Inventaire des informations et des autres actifs</t>
        </is>
      </c>
      <c r="C10" s="3" t="inlineStr">
        <is>
          <t>organisationnel</t>
        </is>
      </c>
      <c r="D10" s="3" t="inlineStr">
        <is>
          <t>Oui</t>
        </is>
      </c>
      <c r="E10" s="3" t="inlineStr">
        <is>
          <t>Partielle</t>
        </is>
      </c>
      <c r="F10" s="3" t="inlineStr">
        <is>
          <t>risque, socle</t>
        </is>
      </c>
      <c r="G10" s="3" t="inlineStr">
        <is>
          <t>Retenue pour traiter R3, R6 ; corrige l'écart aux règles 4, 7 du Guide d'hygiène.</t>
        </is>
      </c>
      <c r="H10" s="3" t="inlineStr">
        <is>
          <t>N11</t>
        </is>
      </c>
      <c r="I10" s="3" t="inlineStr">
        <is>
          <t>R3, R6</t>
        </is>
      </c>
      <c r="J10" s="3" t="inlineStr"/>
    </row>
    <row r="11">
      <c r="A11" s="3" t="inlineStr">
        <is>
          <t>5.10</t>
        </is>
      </c>
      <c r="B11" s="3" t="inlineStr">
        <is>
          <t>Utilisation correcte de l'information et des actifs</t>
        </is>
      </c>
      <c r="C11" s="3" t="inlineStr">
        <is>
          <t>organisationnel</t>
        </is>
      </c>
      <c r="D11" s="3" t="inlineStr">
        <is>
          <t>Oui</t>
        </is>
      </c>
      <c r="E11" s="3" t="inlineStr">
        <is>
          <t>Partielle</t>
        </is>
      </c>
      <c r="F11" s="3" t="inlineStr">
        <is>
          <t>socle</t>
        </is>
      </c>
      <c r="G11" s="3" t="inlineStr">
        <is>
          <t>Corrige l'écart à la règle 2 du Guide d'hygiène.</t>
        </is>
      </c>
      <c r="H11" s="3" t="inlineStr"/>
      <c r="I11" s="3" t="inlineStr"/>
      <c r="J11" s="3" t="inlineStr"/>
    </row>
    <row r="12">
      <c r="A12" s="3" t="inlineStr">
        <is>
          <t>5.11</t>
        </is>
      </c>
      <c r="B12" s="3" t="inlineStr">
        <is>
          <t>Restitution des actifs</t>
        </is>
      </c>
      <c r="C12" s="3" t="inlineStr">
        <is>
          <t>organisationnel</t>
        </is>
      </c>
      <c r="D12" s="3" t="inlineStr">
        <is>
          <t>Oui</t>
        </is>
      </c>
      <c r="E12" s="3" t="inlineStr">
        <is>
          <t>Partielle</t>
        </is>
      </c>
      <c r="F12" s="3" t="inlineStr">
        <is>
          <t>risque, socle</t>
        </is>
      </c>
      <c r="G12" s="3" t="inlineStr">
        <is>
          <t>Retenue pour traiter R3, R6 ; corrige l'écart à la règle 6 du Guide d'hygiène.</t>
        </is>
      </c>
      <c r="H12" s="3" t="inlineStr">
        <is>
          <t>N11</t>
        </is>
      </c>
      <c r="I12" s="3" t="inlineStr">
        <is>
          <t>R3, R6</t>
        </is>
      </c>
      <c r="J12" s="3" t="inlineStr"/>
    </row>
    <row r="13">
      <c r="A13" s="3" t="inlineStr">
        <is>
          <t>5.12</t>
        </is>
      </c>
      <c r="B13" s="3" t="inlineStr">
        <is>
          <t>Classification de l'information</t>
        </is>
      </c>
      <c r="C13" s="3" t="inlineStr">
        <is>
          <t>organisationnel</t>
        </is>
      </c>
      <c r="D13" s="3" t="inlineStr">
        <is>
          <t>Oui</t>
        </is>
      </c>
      <c r="E13" s="3" t="inlineStr">
        <is>
          <t>Partielle</t>
        </is>
      </c>
      <c r="F13" s="3" t="inlineStr">
        <is>
          <t>risque, socle</t>
        </is>
      </c>
      <c r="G13" s="3" t="inlineStr">
        <is>
          <t>Retenue pour traiter R2 ; corrige l'écart à la règle 4 du Guide d'hygiène.</t>
        </is>
      </c>
      <c r="H13" s="3" t="inlineStr">
        <is>
          <t>M06</t>
        </is>
      </c>
      <c r="I13" s="3" t="inlineStr">
        <is>
          <t>R2</t>
        </is>
      </c>
      <c r="J13" s="3" t="inlineStr"/>
    </row>
    <row r="14">
      <c r="A14" s="3" t="inlineStr">
        <is>
          <t>5.13</t>
        </is>
      </c>
      <c r="B14" s="3" t="inlineStr">
        <is>
          <t>Marquage de l'information</t>
        </is>
      </c>
      <c r="C14" s="3" t="inlineStr">
        <is>
          <t>organisationnel</t>
        </is>
      </c>
      <c r="D14" s="3" t="inlineStr">
        <is>
          <t>Oui</t>
        </is>
      </c>
      <c r="E14" s="3" t="inlineStr">
        <is>
          <t>À mettre en œuvre</t>
        </is>
      </c>
      <c r="F14" s="3" t="inlineStr">
        <is>
          <t>bonne pratique</t>
        </is>
      </c>
      <c r="G14" s="3" t="inlineStr">
        <is>
          <t>Marquer les documents et données de R&amp;D selon leur confidentialité.</t>
        </is>
      </c>
      <c r="H14" s="3" t="inlineStr"/>
      <c r="I14" s="3" t="inlineStr"/>
      <c r="J14" s="3" t="inlineStr"/>
    </row>
    <row r="15">
      <c r="A15" s="3" t="inlineStr">
        <is>
          <t>5.14</t>
        </is>
      </c>
      <c r="B15" s="3" t="inlineStr">
        <is>
          <t>Transfert de l'information</t>
        </is>
      </c>
      <c r="C15" s="3" t="inlineStr">
        <is>
          <t>organisationnel</t>
        </is>
      </c>
      <c r="D15" s="3" t="inlineStr">
        <is>
          <t>Oui</t>
        </is>
      </c>
      <c r="E15" s="3" t="inlineStr">
        <is>
          <t>Partielle</t>
        </is>
      </c>
      <c r="F15" s="3" t="inlineStr">
        <is>
          <t>risque, socle</t>
        </is>
      </c>
      <c r="G15" s="3" t="inlineStr">
        <is>
          <t>Retenue pour traiter R2 ; corrige l'écart aux règles 18, 24, 25 du Guide d'hygiène.</t>
        </is>
      </c>
      <c r="H15" s="3" t="inlineStr">
        <is>
          <t>M06, M10</t>
        </is>
      </c>
      <c r="I15" s="3" t="inlineStr">
        <is>
          <t>R2</t>
        </is>
      </c>
      <c r="J15" s="3" t="inlineStr"/>
    </row>
    <row r="16">
      <c r="A16" s="3" t="inlineStr">
        <is>
          <t>5.15</t>
        </is>
      </c>
      <c r="B16" s="3" t="inlineStr">
        <is>
          <t>Contrôle d'accès</t>
        </is>
      </c>
      <c r="C16" s="3" t="inlineStr">
        <is>
          <t>organisationnel</t>
        </is>
      </c>
      <c r="D16" s="3" t="inlineStr">
        <is>
          <t>Oui</t>
        </is>
      </c>
      <c r="E16" s="3" t="inlineStr">
        <is>
          <t>Partielle</t>
        </is>
      </c>
      <c r="F16" s="3" t="inlineStr">
        <is>
          <t>risque, socle</t>
        </is>
      </c>
      <c r="G16" s="3" t="inlineStr">
        <is>
          <t>Retenue pour traiter R3, R6 ; corrige l'écart aux règles 8, 9 du Guide d'hygiène.</t>
        </is>
      </c>
      <c r="H16" s="3" t="inlineStr">
        <is>
          <t>N05</t>
        </is>
      </c>
      <c r="I16" s="3" t="inlineStr">
        <is>
          <t>R3, R6</t>
        </is>
      </c>
      <c r="J16" s="3" t="inlineStr"/>
    </row>
    <row r="17">
      <c r="A17" s="3" t="inlineStr">
        <is>
          <t>5.16</t>
        </is>
      </c>
      <c r="B17" s="3" t="inlineStr">
        <is>
          <t>Gestion des identités</t>
        </is>
      </c>
      <c r="C17" s="3" t="inlineStr">
        <is>
          <t>organisationnel</t>
        </is>
      </c>
      <c r="D17" s="3" t="inlineStr">
        <is>
          <t>Oui</t>
        </is>
      </c>
      <c r="E17" s="3" t="inlineStr">
        <is>
          <t>Partielle</t>
        </is>
      </c>
      <c r="F17" s="3" t="inlineStr">
        <is>
          <t>risque, socle</t>
        </is>
      </c>
      <c r="G17" s="3" t="inlineStr">
        <is>
          <t>Retenue pour traiter R3, R6, R7 ; corrige l'écart aux règles 5, 8 du Guide d'hygiène.</t>
        </is>
      </c>
      <c r="H17" s="3" t="inlineStr">
        <is>
          <t>N04</t>
        </is>
      </c>
      <c r="I17" s="3" t="inlineStr">
        <is>
          <t>R3, R6, R7</t>
        </is>
      </c>
      <c r="J17" s="3" t="inlineStr"/>
    </row>
    <row r="18">
      <c r="A18" s="3" t="inlineStr">
        <is>
          <t>5.17</t>
        </is>
      </c>
      <c r="B18" s="3" t="inlineStr">
        <is>
          <t>Informations d'authentification</t>
        </is>
      </c>
      <c r="C18" s="3" t="inlineStr">
        <is>
          <t>organisationnel</t>
        </is>
      </c>
      <c r="D18" s="3" t="inlineStr">
        <is>
          <t>Oui</t>
        </is>
      </c>
      <c r="E18" s="3" t="inlineStr">
        <is>
          <t>Partielle</t>
        </is>
      </c>
      <c r="F18" s="3" t="inlineStr">
        <is>
          <t>risque, socle</t>
        </is>
      </c>
      <c r="G18" s="3" t="inlineStr">
        <is>
          <t>Retenue pour traiter R3, R6, R7 ; corrige l'écart aux règles 10, 11, 12 du Guide d'hygiène.</t>
        </is>
      </c>
      <c r="H18" s="3" t="inlineStr">
        <is>
          <t>N04</t>
        </is>
      </c>
      <c r="I18" s="3" t="inlineStr">
        <is>
          <t>R3, R6, R7</t>
        </is>
      </c>
      <c r="J18" s="3" t="inlineStr"/>
    </row>
    <row r="19">
      <c r="A19" s="3" t="inlineStr">
        <is>
          <t>5.18</t>
        </is>
      </c>
      <c r="B19" s="3" t="inlineStr">
        <is>
          <t>Droits d'accès</t>
        </is>
      </c>
      <c r="C19" s="3" t="inlineStr">
        <is>
          <t>organisationnel</t>
        </is>
      </c>
      <c r="D19" s="3" t="inlineStr">
        <is>
          <t>Oui</t>
        </is>
      </c>
      <c r="E19" s="3" t="inlineStr">
        <is>
          <t>Partielle</t>
        </is>
      </c>
      <c r="F19" s="3" t="inlineStr">
        <is>
          <t>risque, socle</t>
        </is>
      </c>
      <c r="G19" s="3" t="inlineStr">
        <is>
          <t>Retenue pour traiter R3, R6 ; corrige l'écart aux règles 5, 6, 9 du Guide d'hygiène.</t>
        </is>
      </c>
      <c r="H19" s="3" t="inlineStr">
        <is>
          <t>N05, N11</t>
        </is>
      </c>
      <c r="I19" s="3" t="inlineStr">
        <is>
          <t>R3, R6</t>
        </is>
      </c>
      <c r="J19" s="3" t="inlineStr"/>
    </row>
    <row r="20">
      <c r="A20" s="3" t="inlineStr">
        <is>
          <t>5.19</t>
        </is>
      </c>
      <c r="B20" s="3" t="inlineStr">
        <is>
          <t>Sécurité de l'information dans les relations avec les fournisseurs</t>
        </is>
      </c>
      <c r="C20" s="3" t="inlineStr">
        <is>
          <t>organisationnel</t>
        </is>
      </c>
      <c r="D20" s="3" t="inlineStr">
        <is>
          <t>Oui</t>
        </is>
      </c>
      <c r="E20" s="3" t="inlineStr">
        <is>
          <t>Partielle</t>
        </is>
      </c>
      <c r="F20" s="3" t="inlineStr">
        <is>
          <t>risque, socle</t>
        </is>
      </c>
      <c r="G20" s="3" t="inlineStr">
        <is>
          <t>Retenue pour traiter R2, R3, R4, R6 ; corrige l'écart à la règle 3 du Guide d'hygiène.</t>
        </is>
      </c>
      <c r="H20" s="3" t="inlineStr">
        <is>
          <t>M03, N05</t>
        </is>
      </c>
      <c r="I20" s="3" t="inlineStr">
        <is>
          <t>R2, R3, R4, R6</t>
        </is>
      </c>
      <c r="J20" s="3" t="inlineStr"/>
    </row>
    <row r="21">
      <c r="A21" s="3" t="inlineStr">
        <is>
          <t>5.20</t>
        </is>
      </c>
      <c r="B21" s="3" t="inlineStr">
        <is>
          <t>Sécurité dans les accords avec les fournisseurs</t>
        </is>
      </c>
      <c r="C21" s="3" t="inlineStr">
        <is>
          <t>organisationnel</t>
        </is>
      </c>
      <c r="D21" s="3" t="inlineStr">
        <is>
          <t>Oui</t>
        </is>
      </c>
      <c r="E21" s="3" t="inlineStr">
        <is>
          <t>Partielle</t>
        </is>
      </c>
      <c r="F21" s="3" t="inlineStr">
        <is>
          <t>risque, socle</t>
        </is>
      </c>
      <c r="G21" s="3" t="inlineStr">
        <is>
          <t>Retenue pour traiter R2, R3, R4, R6 ; corrige l'écart à la règle 3 du Guide d'hygiène.</t>
        </is>
      </c>
      <c r="H21" s="3" t="inlineStr">
        <is>
          <t>M03, M04</t>
        </is>
      </c>
      <c r="I21" s="3" t="inlineStr">
        <is>
          <t>R2, R3, R4, R6</t>
        </is>
      </c>
      <c r="J21" s="3" t="inlineStr"/>
    </row>
    <row r="22">
      <c r="A22" s="3" t="inlineStr">
        <is>
          <t>5.21</t>
        </is>
      </c>
      <c r="B22" s="3" t="inlineStr">
        <is>
          <t>Sécurité de la chaîne d'approvisionnement des TIC</t>
        </is>
      </c>
      <c r="C22" s="3" t="inlineStr">
        <is>
          <t>organisationnel</t>
        </is>
      </c>
      <c r="D22" s="3" t="inlineStr">
        <is>
          <t>Oui</t>
        </is>
      </c>
      <c r="E22" s="3" t="inlineStr">
        <is>
          <t>Partielle</t>
        </is>
      </c>
      <c r="F22" s="3" t="inlineStr">
        <is>
          <t>risque, socle</t>
        </is>
      </c>
      <c r="G22" s="3" t="inlineStr">
        <is>
          <t>Retenue pour traiter R4 ; corrige l'écart aux règles 3, 42 du Guide d'hygiène.</t>
        </is>
      </c>
      <c r="H22" s="3" t="inlineStr">
        <is>
          <t>M13</t>
        </is>
      </c>
      <c r="I22" s="3" t="inlineStr">
        <is>
          <t>R4</t>
        </is>
      </c>
      <c r="J22" s="3" t="inlineStr"/>
    </row>
    <row r="23">
      <c r="A23" s="3" t="inlineStr">
        <is>
          <t>5.22</t>
        </is>
      </c>
      <c r="B23" s="3" t="inlineStr">
        <is>
          <t>Suivi et revue des services des fournisseurs</t>
        </is>
      </c>
      <c r="C23" s="3" t="inlineStr">
        <is>
          <t>organisationnel</t>
        </is>
      </c>
      <c r="D23" s="3" t="inlineStr">
        <is>
          <t>Oui</t>
        </is>
      </c>
      <c r="E23" s="3" t="inlineStr">
        <is>
          <t>À mettre en œuvre</t>
        </is>
      </c>
      <c r="F23" s="3" t="inlineStr">
        <is>
          <t>risque, socle</t>
        </is>
      </c>
      <c r="G23" s="3" t="inlineStr">
        <is>
          <t>Retenue pour traiter R2, R3, R4, R6 ; corrige l'écart à la règle 3 du Guide d'hygiène.</t>
        </is>
      </c>
      <c r="H23" s="3" t="inlineStr">
        <is>
          <t>M04, M05</t>
        </is>
      </c>
      <c r="I23" s="3" t="inlineStr">
        <is>
          <t>R2, R3, R4, R6</t>
        </is>
      </c>
      <c r="J23" s="3" t="inlineStr"/>
    </row>
    <row r="24">
      <c r="A24" s="3" t="inlineStr">
        <is>
          <t>5.23</t>
        </is>
      </c>
      <c r="B24" s="3" t="inlineStr">
        <is>
          <t>Sécurité de l'information pour l'utilisation de services en nuage</t>
        </is>
      </c>
      <c r="C24" s="3" t="inlineStr">
        <is>
          <t>organisationnel</t>
        </is>
      </c>
      <c r="D24" s="3" t="inlineStr">
        <is>
          <t>Oui</t>
        </is>
      </c>
      <c r="E24" s="3" t="inlineStr">
        <is>
          <t>Partielle</t>
        </is>
      </c>
      <c r="F24" s="3" t="inlineStr">
        <is>
          <t>socle</t>
        </is>
      </c>
      <c r="G24" s="3" t="inlineStr">
        <is>
          <t>Corrige l'écart aux règles 3, 42 du Guide d'hygiène.</t>
        </is>
      </c>
      <c r="H24" s="3" t="inlineStr"/>
      <c r="I24" s="3" t="inlineStr"/>
      <c r="J24" s="3" t="inlineStr"/>
    </row>
    <row r="25">
      <c r="A25" s="3" t="inlineStr">
        <is>
          <t>5.24</t>
        </is>
      </c>
      <c r="B25" s="3" t="inlineStr">
        <is>
          <t>Planification et préparation de la gestion des incidents</t>
        </is>
      </c>
      <c r="C25" s="3" t="inlineStr">
        <is>
          <t>organisationnel</t>
        </is>
      </c>
      <c r="D25" s="3" t="inlineStr">
        <is>
          <t>Oui</t>
        </is>
      </c>
      <c r="E25" s="3" t="inlineStr">
        <is>
          <t>À mettre en œuvre</t>
        </is>
      </c>
      <c r="F25" s="3" t="inlineStr">
        <is>
          <t>risque, socle</t>
        </is>
      </c>
      <c r="G25" s="3" t="inlineStr">
        <is>
          <t>Retenue pour traiter R2, R3, R4, R6, R7 ; corrige l'écart à la règle 40 du Guide d'hygiène.</t>
        </is>
      </c>
      <c r="H25" s="3" t="inlineStr">
        <is>
          <t>M04, N08</t>
        </is>
      </c>
      <c r="I25" s="3" t="inlineStr">
        <is>
          <t>R2, R3, R4, R6, R7</t>
        </is>
      </c>
      <c r="J25" s="3" t="inlineStr"/>
    </row>
    <row r="26">
      <c r="A26" s="3" t="inlineStr">
        <is>
          <t>5.25</t>
        </is>
      </c>
      <c r="B26" s="3" t="inlineStr">
        <is>
          <t>Appréciation et décision sur les événements de sécurité</t>
        </is>
      </c>
      <c r="C26" s="3" t="inlineStr">
        <is>
          <t>organisationnel</t>
        </is>
      </c>
      <c r="D26" s="3" t="inlineStr">
        <is>
          <t>Oui</t>
        </is>
      </c>
      <c r="E26" s="3" t="inlineStr">
        <is>
          <t>À mettre en œuvre</t>
        </is>
      </c>
      <c r="F26" s="3" t="inlineStr">
        <is>
          <t>risque, socle</t>
        </is>
      </c>
      <c r="G26" s="3" t="inlineStr">
        <is>
          <t>Retenue pour traiter R4, R6, R7 ; corrige l'écart à la règle 40 du Guide d'hygiène.</t>
        </is>
      </c>
      <c r="H26" s="3" t="inlineStr">
        <is>
          <t>N08</t>
        </is>
      </c>
      <c r="I26" s="3" t="inlineStr">
        <is>
          <t>R4, R6, R7</t>
        </is>
      </c>
      <c r="J26" s="3" t="inlineStr"/>
    </row>
    <row r="27">
      <c r="A27" s="3" t="inlineStr">
        <is>
          <t>5.26</t>
        </is>
      </c>
      <c r="B27" s="3" t="inlineStr">
        <is>
          <t>Réponse aux incidents de sécurité</t>
        </is>
      </c>
      <c r="C27" s="3" t="inlineStr">
        <is>
          <t>organisationnel</t>
        </is>
      </c>
      <c r="D27" s="3" t="inlineStr">
        <is>
          <t>Oui</t>
        </is>
      </c>
      <c r="E27" s="3" t="inlineStr">
        <is>
          <t>À mettre en œuvre</t>
        </is>
      </c>
      <c r="F27" s="3" t="inlineStr">
        <is>
          <t>risque, socle</t>
        </is>
      </c>
      <c r="G27" s="3" t="inlineStr">
        <is>
          <t>Retenue pour traiter R2, R3, R4, R6, R7 ; corrige l'écart à la règle 40 du Guide d'hygiène.</t>
        </is>
      </c>
      <c r="H27" s="3" t="inlineStr">
        <is>
          <t>M04, N08</t>
        </is>
      </c>
      <c r="I27" s="3" t="inlineStr">
        <is>
          <t>R2, R3, R4, R6, R7</t>
        </is>
      </c>
      <c r="J27" s="3" t="inlineStr"/>
    </row>
    <row r="28">
      <c r="A28" s="3" t="inlineStr">
        <is>
          <t>5.27</t>
        </is>
      </c>
      <c r="B28" s="3" t="inlineStr">
        <is>
          <t>Retour d'expérience sur les incidents</t>
        </is>
      </c>
      <c r="C28" s="3" t="inlineStr">
        <is>
          <t>organisationnel</t>
        </is>
      </c>
      <c r="D28" s="3" t="inlineStr">
        <is>
          <t>Oui</t>
        </is>
      </c>
      <c r="E28" s="3" t="inlineStr">
        <is>
          <t>À mettre en œuvre</t>
        </is>
      </c>
      <c r="F28" s="3" t="inlineStr">
        <is>
          <t>risque, socle</t>
        </is>
      </c>
      <c r="G28" s="3" t="inlineStr">
        <is>
          <t>Retenue pour traiter R4, R6, R7 ; corrige l'écart à la règle 40 du Guide d'hygiène.</t>
        </is>
      </c>
      <c r="H28" s="3" t="inlineStr">
        <is>
          <t>N08</t>
        </is>
      </c>
      <c r="I28" s="3" t="inlineStr">
        <is>
          <t>R4, R6, R7</t>
        </is>
      </c>
      <c r="J28" s="3" t="inlineStr"/>
    </row>
    <row r="29">
      <c r="A29" s="3" t="inlineStr">
        <is>
          <t>5.28</t>
        </is>
      </c>
      <c r="B29" s="3" t="inlineStr">
        <is>
          <t>Recueil de preuves</t>
        </is>
      </c>
      <c r="C29" s="3" t="inlineStr">
        <is>
          <t>organisationnel</t>
        </is>
      </c>
      <c r="D29" s="3" t="inlineStr">
        <is>
          <t>Oui</t>
        </is>
      </c>
      <c r="E29" s="3" t="inlineStr">
        <is>
          <t>À mettre en œuvre</t>
        </is>
      </c>
      <c r="F29" s="3" t="inlineStr">
        <is>
          <t>risque</t>
        </is>
      </c>
      <c r="G29" s="3" t="inlineStr">
        <is>
          <t>Retenue pour traiter R4, R6, R7.</t>
        </is>
      </c>
      <c r="H29" s="3" t="inlineStr">
        <is>
          <t>N08</t>
        </is>
      </c>
      <c r="I29" s="3" t="inlineStr">
        <is>
          <t>R4, R6, R7</t>
        </is>
      </c>
      <c r="J29" s="3" t="inlineStr"/>
    </row>
    <row r="30">
      <c r="A30" s="3" t="inlineStr">
        <is>
          <t>5.29</t>
        </is>
      </c>
      <c r="B30" s="3" t="inlineStr">
        <is>
          <t>Sécurité de l'information pendant une perturbation</t>
        </is>
      </c>
      <c r="C30" s="3" t="inlineStr">
        <is>
          <t>organisationnel</t>
        </is>
      </c>
      <c r="D30" s="3" t="inlineStr">
        <is>
          <t>Oui</t>
        </is>
      </c>
      <c r="E30" s="3" t="inlineStr">
        <is>
          <t>Partielle</t>
        </is>
      </c>
      <c r="F30" s="3" t="inlineStr">
        <is>
          <t>risque</t>
        </is>
      </c>
      <c r="G30" s="3" t="inlineStr">
        <is>
          <t>Retenue pour traiter R4, R5, R6, R7.</t>
        </is>
      </c>
      <c r="H30" s="3" t="inlineStr">
        <is>
          <t>M12</t>
        </is>
      </c>
      <c r="I30" s="3" t="inlineStr">
        <is>
          <t>R4, R5, R6, R7</t>
        </is>
      </c>
      <c r="J30" s="3" t="inlineStr"/>
    </row>
    <row r="31">
      <c r="A31" s="3" t="inlineStr">
        <is>
          <t>5.30</t>
        </is>
      </c>
      <c r="B31" s="3" t="inlineStr">
        <is>
          <t>Préparation des TIC à la continuité d'activité</t>
        </is>
      </c>
      <c r="C31" s="3" t="inlineStr">
        <is>
          <t>organisationnel</t>
        </is>
      </c>
      <c r="D31" s="3" t="inlineStr">
        <is>
          <t>Oui</t>
        </is>
      </c>
      <c r="E31" s="3" t="inlineStr">
        <is>
          <t>Partielle</t>
        </is>
      </c>
      <c r="F31" s="3" t="inlineStr">
        <is>
          <t>risque</t>
        </is>
      </c>
      <c r="G31" s="3" t="inlineStr">
        <is>
          <t>Retenue pour traiter R4, R5, R6, R7.</t>
        </is>
      </c>
      <c r="H31" s="3" t="inlineStr">
        <is>
          <t>M12, N06</t>
        </is>
      </c>
      <c r="I31" s="3" t="inlineStr">
        <is>
          <t>R4, R5, R6, R7</t>
        </is>
      </c>
      <c r="J31" s="3" t="inlineStr"/>
    </row>
    <row r="32">
      <c r="A32" s="3" t="inlineStr">
        <is>
          <t>5.31</t>
        </is>
      </c>
      <c r="B32" s="3" t="inlineStr">
        <is>
          <t>Exigences légales, réglementaires et contractuelles</t>
        </is>
      </c>
      <c r="C32" s="3" t="inlineStr">
        <is>
          <t>organisationnel</t>
        </is>
      </c>
      <c r="D32" s="3" t="inlineStr">
        <is>
          <t>Oui</t>
        </is>
      </c>
      <c r="E32" s="3" t="inlineStr">
        <is>
          <t>À mettre en œuvre</t>
        </is>
      </c>
      <c r="F32" s="3" t="inlineStr"/>
      <c r="G32" s="3" t="inlineStr"/>
      <c r="H32" s="3" t="inlineStr">
        <is>
          <t>N12</t>
        </is>
      </c>
      <c r="I32" s="3" t="inlineStr"/>
      <c r="J32" s="3" t="inlineStr"/>
    </row>
    <row r="33">
      <c r="A33" s="3" t="inlineStr">
        <is>
          <t>5.32</t>
        </is>
      </c>
      <c r="B33" s="3" t="inlineStr">
        <is>
          <t>Droits de propriété intellectuelle</t>
        </is>
      </c>
      <c r="C33" s="3" t="inlineStr">
        <is>
          <t>organisationnel</t>
        </is>
      </c>
      <c r="D33" s="3" t="inlineStr">
        <is>
          <t>Oui</t>
        </is>
      </c>
      <c r="E33" s="3" t="inlineStr">
        <is>
          <t>Partielle</t>
        </is>
      </c>
      <c r="F33" s="3" t="inlineStr">
        <is>
          <t>légal</t>
        </is>
      </c>
      <c r="G33" s="3" t="inlineStr">
        <is>
          <t>Protéger les droits sur les travaux de R&amp;D (secrets industriels, brevets) et respecter les licences.</t>
        </is>
      </c>
      <c r="H33" s="3" t="inlineStr"/>
      <c r="I33" s="3" t="inlineStr"/>
      <c r="J33" s="3" t="inlineStr"/>
    </row>
    <row r="34">
      <c r="A34" s="3" t="inlineStr">
        <is>
          <t>5.33</t>
        </is>
      </c>
      <c r="B34" s="3" t="inlineStr">
        <is>
          <t>Protection des enregistrements</t>
        </is>
      </c>
      <c r="C34" s="3" t="inlineStr">
        <is>
          <t>organisationnel</t>
        </is>
      </c>
      <c r="D34" s="3" t="inlineStr">
        <is>
          <t>Oui</t>
        </is>
      </c>
      <c r="E34" s="3" t="inlineStr">
        <is>
          <t>À mettre en œuvre</t>
        </is>
      </c>
      <c r="F34" s="3" t="inlineStr"/>
      <c r="G34" s="3" t="inlineStr"/>
      <c r="H34" s="3" t="inlineStr">
        <is>
          <t>N12</t>
        </is>
      </c>
      <c r="I34" s="3" t="inlineStr"/>
      <c r="J34" s="3" t="inlineStr"/>
    </row>
    <row r="35">
      <c r="A35" s="3" t="inlineStr">
        <is>
          <t>5.34</t>
        </is>
      </c>
      <c r="B35" s="3" t="inlineStr">
        <is>
          <t>Vie privée et protection des données personnelles</t>
        </is>
      </c>
      <c r="C35" s="3" t="inlineStr">
        <is>
          <t>organisationnel</t>
        </is>
      </c>
      <c r="D35" s="3" t="inlineStr">
        <is>
          <t>Oui</t>
        </is>
      </c>
      <c r="E35" s="3" t="inlineStr">
        <is>
          <t>À mettre en œuvre</t>
        </is>
      </c>
      <c r="F35" s="3" t="inlineStr"/>
      <c r="G35" s="3" t="inlineStr"/>
      <c r="H35" s="3" t="inlineStr">
        <is>
          <t>N12</t>
        </is>
      </c>
      <c r="I35" s="3" t="inlineStr"/>
      <c r="J35" s="3" t="inlineStr"/>
    </row>
    <row r="36">
      <c r="A36" s="3" t="inlineStr">
        <is>
          <t>5.35</t>
        </is>
      </c>
      <c r="B36" s="3" t="inlineStr">
        <is>
          <t>Revue indépendante de la sécurité de l'information</t>
        </is>
      </c>
      <c r="C36" s="3" t="inlineStr">
        <is>
          <t>organisationnel</t>
        </is>
      </c>
      <c r="D36" s="3" t="inlineStr">
        <is>
          <t>Oui</t>
        </is>
      </c>
      <c r="E36" s="3" t="inlineStr">
        <is>
          <t>À mettre en œuvre</t>
        </is>
      </c>
      <c r="F36" s="3" t="inlineStr">
        <is>
          <t>risque, socle</t>
        </is>
      </c>
      <c r="G36" s="3" t="inlineStr">
        <is>
          <t>Retenue pour traiter R1, R2, R3, R4, R5, R6, R7 ; corrige l'écart à la règle 38 du Guide d'hygiène.</t>
        </is>
      </c>
      <c r="H36" s="3" t="inlineStr">
        <is>
          <t>M02, M05, N09</t>
        </is>
      </c>
      <c r="I36" s="3" t="inlineStr">
        <is>
          <t>R1, R2, R3, R4, R5, R6, R7</t>
        </is>
      </c>
      <c r="J36" s="3" t="inlineStr"/>
    </row>
    <row r="37">
      <c r="A37" s="3" t="inlineStr">
        <is>
          <t>5.36</t>
        </is>
      </c>
      <c r="B37" s="3" t="inlineStr">
        <is>
          <t>Conformité aux politiques, règles et normes</t>
        </is>
      </c>
      <c r="C37" s="3" t="inlineStr">
        <is>
          <t>organisationnel</t>
        </is>
      </c>
      <c r="D37" s="3" t="inlineStr">
        <is>
          <t>Oui</t>
        </is>
      </c>
      <c r="E37" s="3" t="inlineStr">
        <is>
          <t>À mettre en œuvre</t>
        </is>
      </c>
      <c r="F37" s="3" t="inlineStr">
        <is>
          <t>risque, socle</t>
        </is>
      </c>
      <c r="G37" s="3" t="inlineStr">
        <is>
          <t>Retenue pour traiter R1, R2, R3, R4, R5, R6, R7 ; corrige l'écart à la règle 38 du Guide d'hygiène.</t>
        </is>
      </c>
      <c r="H37" s="3" t="inlineStr">
        <is>
          <t>N09</t>
        </is>
      </c>
      <c r="I37" s="3" t="inlineStr">
        <is>
          <t>R1, R2, R3, R4, R5, R6, R7</t>
        </is>
      </c>
      <c r="J37" s="3" t="inlineStr"/>
    </row>
    <row r="38">
      <c r="A38" s="3" t="inlineStr">
        <is>
          <t>5.37</t>
        </is>
      </c>
      <c r="B38" s="3" t="inlineStr">
        <is>
          <t>Procédures d'exploitation documentées</t>
        </is>
      </c>
      <c r="C38" s="3" t="inlineStr">
        <is>
          <t>organisationnel</t>
        </is>
      </c>
      <c r="D38" s="3" t="inlineStr">
        <is>
          <t>Oui</t>
        </is>
      </c>
      <c r="E38" s="3" t="inlineStr">
        <is>
          <t>À mettre en œuvre</t>
        </is>
      </c>
      <c r="F38" s="3" t="inlineStr">
        <is>
          <t>bonne pratique</t>
        </is>
      </c>
      <c r="G38" s="3" t="inlineStr">
        <is>
          <t>Documenter les procédures d'exploitation : sauvegarde, mise à jour, administration.</t>
        </is>
      </c>
      <c r="H38" s="3" t="inlineStr"/>
      <c r="I38" s="3" t="inlineStr"/>
      <c r="J38" s="3" t="inlineStr"/>
    </row>
    <row r="39">
      <c r="A39" s="3" t="inlineStr">
        <is>
          <t>6.1</t>
        </is>
      </c>
      <c r="B39" s="3" t="inlineStr">
        <is>
          <t>Vérification des antécédents</t>
        </is>
      </c>
      <c r="C39" s="3" t="inlineStr">
        <is>
          <t>personnes</t>
        </is>
      </c>
      <c r="D39" s="3" t="inlineStr">
        <is>
          <t>Oui</t>
        </is>
      </c>
      <c r="E39" s="3" t="inlineStr">
        <is>
          <t>Partielle</t>
        </is>
      </c>
      <c r="F39" s="3" t="inlineStr">
        <is>
          <t>légal, bonne pratique</t>
        </is>
      </c>
      <c r="G39" s="3" t="inlineStr">
        <is>
          <t>Vérifications à l'embauche proportionnées au poste, dans le cadre du droit du travail.</t>
        </is>
      </c>
      <c r="H39" s="3" t="inlineStr"/>
      <c r="I39" s="3" t="inlineStr"/>
      <c r="J39" s="3" t="inlineStr"/>
    </row>
    <row r="40">
      <c r="A40" s="3" t="inlineStr">
        <is>
          <t>6.2</t>
        </is>
      </c>
      <c r="B40" s="3" t="inlineStr">
        <is>
          <t>Conditions d'emploi</t>
        </is>
      </c>
      <c r="C40" s="3" t="inlineStr">
        <is>
          <t>personnes</t>
        </is>
      </c>
      <c r="D40" s="3" t="inlineStr">
        <is>
          <t>Oui</t>
        </is>
      </c>
      <c r="E40" s="3" t="inlineStr">
        <is>
          <t>Partielle</t>
        </is>
      </c>
      <c r="F40" s="3" t="inlineStr">
        <is>
          <t>contractuel</t>
        </is>
      </c>
      <c r="G40" s="3" t="inlineStr">
        <is>
          <t>La charte informatique existe (guide EBIOS RM p. 11) ; il reste à inscrire les obligations de sécurité dans les contrats.</t>
        </is>
      </c>
      <c r="H40" s="3" t="inlineStr"/>
      <c r="I40" s="3" t="inlineStr"/>
      <c r="J40" s="3" t="inlineStr"/>
    </row>
    <row r="41">
      <c r="A41" s="3" t="inlineStr">
        <is>
          <t>6.3</t>
        </is>
      </c>
      <c r="B41" s="3" t="inlineStr">
        <is>
          <t>Sensibilisation, apprentissage et formation</t>
        </is>
      </c>
      <c r="C41" s="3" t="inlineStr">
        <is>
          <t>personnes</t>
        </is>
      </c>
      <c r="D41" s="3" t="inlineStr">
        <is>
          <t>Oui</t>
        </is>
      </c>
      <c r="E41" s="3" t="inlineStr">
        <is>
          <t>Partielle</t>
        </is>
      </c>
      <c r="F41" s="3" t="inlineStr">
        <is>
          <t>risque, socle</t>
        </is>
      </c>
      <c r="G41" s="3" t="inlineStr">
        <is>
          <t>Retenue pour traiter R1, R4, R6, R7 ; corrige l'écart aux règles 1, 2 du Guide d'hygiène.</t>
        </is>
      </c>
      <c r="H41" s="3" t="inlineStr">
        <is>
          <t>M01, N13</t>
        </is>
      </c>
      <c r="I41" s="3" t="inlineStr">
        <is>
          <t>R1, R4, R6, R7</t>
        </is>
      </c>
      <c r="J41" s="3" t="inlineStr"/>
    </row>
    <row r="42">
      <c r="A42" s="3" t="inlineStr">
        <is>
          <t>6.4</t>
        </is>
      </c>
      <c r="B42" s="3" t="inlineStr">
        <is>
          <t>Processus disciplinaire</t>
        </is>
      </c>
      <c r="C42" s="3" t="inlineStr">
        <is>
          <t>personnes</t>
        </is>
      </c>
      <c r="D42" s="3" t="inlineStr">
        <is>
          <t>Oui</t>
        </is>
      </c>
      <c r="E42" s="3" t="inlineStr">
        <is>
          <t>À mettre en œuvre</t>
        </is>
      </c>
      <c r="F42" s="3" t="inlineStr">
        <is>
          <t>bonne pratique</t>
        </is>
      </c>
      <c r="G42" s="3" t="inlineStr">
        <is>
          <t>Prévoir la sanction des manquements graves aux règles de sécurité.</t>
        </is>
      </c>
      <c r="H42" s="3" t="inlineStr"/>
      <c r="I42" s="3" t="inlineStr"/>
      <c r="J42" s="3" t="inlineStr"/>
    </row>
    <row r="43">
      <c r="A43" s="3" t="inlineStr">
        <is>
          <t>6.5</t>
        </is>
      </c>
      <c r="B43" s="3" t="inlineStr">
        <is>
          <t>Responsabilités après la fin ou le changement d'emploi</t>
        </is>
      </c>
      <c r="C43" s="3" t="inlineStr">
        <is>
          <t>personnes</t>
        </is>
      </c>
      <c r="D43" s="3" t="inlineStr">
        <is>
          <t>Oui</t>
        </is>
      </c>
      <c r="E43" s="3" t="inlineStr">
        <is>
          <t>Partielle</t>
        </is>
      </c>
      <c r="F43" s="3" t="inlineStr">
        <is>
          <t>risque, socle</t>
        </is>
      </c>
      <c r="G43" s="3" t="inlineStr">
        <is>
          <t>Retenue pour traiter R3, R6 ; corrige l'écart à la règle 6 du Guide d'hygiène.</t>
        </is>
      </c>
      <c r="H43" s="3" t="inlineStr">
        <is>
          <t>N11</t>
        </is>
      </c>
      <c r="I43" s="3" t="inlineStr">
        <is>
          <t>R3, R6</t>
        </is>
      </c>
      <c r="J43" s="3" t="inlineStr"/>
    </row>
    <row r="44">
      <c r="A44" s="3" t="inlineStr">
        <is>
          <t>6.6</t>
        </is>
      </c>
      <c r="B44" s="3" t="inlineStr">
        <is>
          <t>Engagements de confidentialité</t>
        </is>
      </c>
      <c r="C44" s="3" t="inlineStr">
        <is>
          <t>personnes</t>
        </is>
      </c>
      <c r="D44" s="3" t="inlineStr">
        <is>
          <t>Oui</t>
        </is>
      </c>
      <c r="E44" s="3" t="inlineStr">
        <is>
          <t>Partielle</t>
        </is>
      </c>
      <c r="F44" s="3" t="inlineStr">
        <is>
          <t>bonne pratique</t>
        </is>
      </c>
      <c r="G44" s="3" t="inlineStr">
        <is>
          <t>Accords de confidentialité avec les salariés, les universités et les laboratoires.</t>
        </is>
      </c>
      <c r="H44" s="3" t="inlineStr"/>
      <c r="I44" s="3" t="inlineStr"/>
      <c r="J44" s="3" t="inlineStr"/>
    </row>
    <row r="45">
      <c r="A45" s="3" t="inlineStr">
        <is>
          <t>6.7</t>
        </is>
      </c>
      <c r="B45" s="3" t="inlineStr">
        <is>
          <t>Travail à distance</t>
        </is>
      </c>
      <c r="C45" s="3" t="inlineStr">
        <is>
          <t>personnes</t>
        </is>
      </c>
      <c r="D45" s="3" t="inlineStr">
        <is>
          <t>Oui</t>
        </is>
      </c>
      <c r="E45" s="3" t="inlineStr">
        <is>
          <t>Partielle</t>
        </is>
      </c>
      <c r="F45" s="3" t="inlineStr">
        <is>
          <t>socle</t>
        </is>
      </c>
      <c r="G45" s="3" t="inlineStr">
        <is>
          <t>Corrige l'écart aux règles 32, 33 du Guide d'hygiène.</t>
        </is>
      </c>
      <c r="H45" s="3" t="inlineStr"/>
      <c r="I45" s="3" t="inlineStr"/>
      <c r="J45" s="3" t="inlineStr"/>
    </row>
    <row r="46">
      <c r="A46" s="3" t="inlineStr">
        <is>
          <t>6.8</t>
        </is>
      </c>
      <c r="B46" s="3" t="inlineStr">
        <is>
          <t>Signalement des événements de sécurité</t>
        </is>
      </c>
      <c r="C46" s="3" t="inlineStr">
        <is>
          <t>personnes</t>
        </is>
      </c>
      <c r="D46" s="3" t="inlineStr">
        <is>
          <t>Oui</t>
        </is>
      </c>
      <c r="E46" s="3" t="inlineStr">
        <is>
          <t>À mettre en œuvre</t>
        </is>
      </c>
      <c r="F46" s="3" t="inlineStr">
        <is>
          <t>risque, socle</t>
        </is>
      </c>
      <c r="G46" s="3" t="inlineStr">
        <is>
          <t>Retenue pour traiter R4, R6, R7 ; corrige l'écart à la règle 40 du Guide d'hygiène.</t>
        </is>
      </c>
      <c r="H46" s="3" t="inlineStr">
        <is>
          <t>N08</t>
        </is>
      </c>
      <c r="I46" s="3" t="inlineStr">
        <is>
          <t>R4, R6, R7</t>
        </is>
      </c>
      <c r="J46" s="3" t="inlineStr"/>
    </row>
    <row r="47">
      <c r="A47" s="3" t="inlineStr">
        <is>
          <t>7.1</t>
        </is>
      </c>
      <c r="B47" s="3" t="inlineStr">
        <is>
          <t>Périmètres de sécurité physique</t>
        </is>
      </c>
      <c r="C47" s="3" t="inlineStr">
        <is>
          <t>physique</t>
        </is>
      </c>
      <c r="D47" s="3" t="inlineStr">
        <is>
          <t>Oui</t>
        </is>
      </c>
      <c r="E47" s="3" t="inlineStr">
        <is>
          <t>Partielle</t>
        </is>
      </c>
      <c r="F47" s="3" t="inlineStr">
        <is>
          <t>risque, socle</t>
        </is>
      </c>
      <c r="G47" s="3" t="inlineStr">
        <is>
          <t>Retenue pour traiter R1 ; corrige l'écart à la règle 26 du Guide d'hygiène.</t>
        </is>
      </c>
      <c r="H47" s="3" t="inlineStr">
        <is>
          <t>M08</t>
        </is>
      </c>
      <c r="I47" s="3" t="inlineStr">
        <is>
          <t>R1</t>
        </is>
      </c>
      <c r="J47" s="3" t="inlineStr"/>
    </row>
    <row r="48">
      <c r="A48" s="3" t="inlineStr">
        <is>
          <t>7.2</t>
        </is>
      </c>
      <c r="B48" s="3" t="inlineStr">
        <is>
          <t>Accès physiques</t>
        </is>
      </c>
      <c r="C48" s="3" t="inlineStr">
        <is>
          <t>physique</t>
        </is>
      </c>
      <c r="D48" s="3" t="inlineStr">
        <is>
          <t>Oui</t>
        </is>
      </c>
      <c r="E48" s="3" t="inlineStr">
        <is>
          <t>Partielle</t>
        </is>
      </c>
      <c r="F48" s="3" t="inlineStr">
        <is>
          <t>risque, socle</t>
        </is>
      </c>
      <c r="G48" s="3" t="inlineStr">
        <is>
          <t>Retenue pour traiter R1 ; corrige l'écart à la règle 26 du Guide d'hygiène.</t>
        </is>
      </c>
      <c r="H48" s="3" t="inlineStr">
        <is>
          <t>M08</t>
        </is>
      </c>
      <c r="I48" s="3" t="inlineStr">
        <is>
          <t>R1</t>
        </is>
      </c>
      <c r="J48" s="3" t="inlineStr"/>
    </row>
    <row r="49">
      <c r="A49" s="3" t="inlineStr">
        <is>
          <t>7.3</t>
        </is>
      </c>
      <c r="B49" s="3" t="inlineStr">
        <is>
          <t>Sécurisation des bureaux, salles et équipements</t>
        </is>
      </c>
      <c r="C49" s="3" t="inlineStr">
        <is>
          <t>physique</t>
        </is>
      </c>
      <c r="D49" s="3" t="inlineStr">
        <is>
          <t>Oui</t>
        </is>
      </c>
      <c r="E49" s="3" t="inlineStr">
        <is>
          <t>Partielle</t>
        </is>
      </c>
      <c r="F49" s="3" t="inlineStr">
        <is>
          <t>risque, socle</t>
        </is>
      </c>
      <c r="G49" s="3" t="inlineStr">
        <is>
          <t>Retenue pour traiter R1 ; corrige l'écart à la règle 26 du Guide d'hygiène.</t>
        </is>
      </c>
      <c r="H49" s="3" t="inlineStr">
        <is>
          <t>M08</t>
        </is>
      </c>
      <c r="I49" s="3" t="inlineStr">
        <is>
          <t>R1</t>
        </is>
      </c>
      <c r="J49" s="3" t="inlineStr"/>
    </row>
    <row r="50">
      <c r="A50" s="3" t="inlineStr">
        <is>
          <t>7.4</t>
        </is>
      </c>
      <c r="B50" s="3" t="inlineStr">
        <is>
          <t>Surveillance de la sécurité physique</t>
        </is>
      </c>
      <c r="C50" s="3" t="inlineStr">
        <is>
          <t>physique</t>
        </is>
      </c>
      <c r="D50" s="3" t="inlineStr">
        <is>
          <t>Oui</t>
        </is>
      </c>
      <c r="E50" s="3" t="inlineStr">
        <is>
          <t>À mettre en œuvre</t>
        </is>
      </c>
      <c r="F50" s="3" t="inlineStr">
        <is>
          <t>bonne pratique</t>
        </is>
      </c>
      <c r="G50" s="3" t="inlineStr">
        <is>
          <t>Surveiller les accès aux bâtiments et aux zones de R&amp;D et de production.</t>
        </is>
      </c>
      <c r="H50" s="3" t="inlineStr"/>
      <c r="I50" s="3" t="inlineStr"/>
      <c r="J50" s="3" t="inlineStr"/>
    </row>
    <row r="51">
      <c r="A51" s="3" t="inlineStr">
        <is>
          <t>7.5</t>
        </is>
      </c>
      <c r="B51" s="3" t="inlineStr">
        <is>
          <t>Protection contre les menaces physiques et environnementales</t>
        </is>
      </c>
      <c r="C51" s="3" t="inlineStr">
        <is>
          <t>physique</t>
        </is>
      </c>
      <c r="D51" s="3" t="inlineStr">
        <is>
          <t>Oui</t>
        </is>
      </c>
      <c r="E51" s="3" t="inlineStr">
        <is>
          <t>Partielle</t>
        </is>
      </c>
      <c r="F51" s="3" t="inlineStr">
        <is>
          <t>bonne pratique</t>
        </is>
      </c>
      <c r="G51" s="3" t="inlineStr">
        <is>
          <t>Protection contre l'incendie et l'eau des locaux techniques et de production.</t>
        </is>
      </c>
      <c r="H51" s="3" t="inlineStr"/>
      <c r="I51" s="3" t="inlineStr"/>
      <c r="J51" s="3" t="inlineStr"/>
    </row>
    <row r="52">
      <c r="A52" s="3" t="inlineStr">
        <is>
          <t>7.6</t>
        </is>
      </c>
      <c r="B52" s="3" t="inlineStr">
        <is>
          <t>Travail dans les zones sécurisées</t>
        </is>
      </c>
      <c r="C52" s="3" t="inlineStr">
        <is>
          <t>physique</t>
        </is>
      </c>
      <c r="D52" s="3" t="inlineStr">
        <is>
          <t>Oui</t>
        </is>
      </c>
      <c r="E52" s="3" t="inlineStr">
        <is>
          <t>Partielle</t>
        </is>
      </c>
      <c r="F52" s="3" t="inlineStr">
        <is>
          <t>bonne pratique</t>
        </is>
      </c>
      <c r="G52" s="3" t="inlineStr">
        <is>
          <t>Règles de travail dans les zones de production et de R&amp;D à accès restreint.</t>
        </is>
      </c>
      <c r="H52" s="3" t="inlineStr"/>
      <c r="I52" s="3" t="inlineStr"/>
      <c r="J52" s="3" t="inlineStr"/>
    </row>
    <row r="53">
      <c r="A53" s="3" t="inlineStr">
        <is>
          <t>7.7</t>
        </is>
      </c>
      <c r="B53" s="3" t="inlineStr">
        <is>
          <t>Bureau propre et écran vide</t>
        </is>
      </c>
      <c r="C53" s="3" t="inlineStr">
        <is>
          <t>physique</t>
        </is>
      </c>
      <c r="D53" s="3" t="inlineStr">
        <is>
          <t>Oui</t>
        </is>
      </c>
      <c r="E53" s="3" t="inlineStr">
        <is>
          <t>À mettre en œuvre</t>
        </is>
      </c>
      <c r="F53" s="3" t="inlineStr">
        <is>
          <t>bonne pratique</t>
        </is>
      </c>
      <c r="G53" s="3" t="inlineStr">
        <is>
          <t>Bureau propre et verrouillage automatique des écrans.</t>
        </is>
      </c>
      <c r="H53" s="3" t="inlineStr"/>
      <c r="I53" s="3" t="inlineStr"/>
      <c r="J53" s="3" t="inlineStr"/>
    </row>
    <row r="54">
      <c r="A54" s="3" t="inlineStr">
        <is>
          <t>7.8</t>
        </is>
      </c>
      <c r="B54" s="3" t="inlineStr">
        <is>
          <t>Emplacement et protection du matériel</t>
        </is>
      </c>
      <c r="C54" s="3" t="inlineStr">
        <is>
          <t>physique</t>
        </is>
      </c>
      <c r="D54" s="3" t="inlineStr">
        <is>
          <t>Oui</t>
        </is>
      </c>
      <c r="E54" s="3" t="inlineStr">
        <is>
          <t>Partielle</t>
        </is>
      </c>
      <c r="F54" s="3" t="inlineStr">
        <is>
          <t>bonne pratique</t>
        </is>
      </c>
      <c r="G54" s="3" t="inlineStr">
        <is>
          <t>Placer et protéger les équipements hors de la vue et de l'accès du public.</t>
        </is>
      </c>
      <c r="H54" s="3" t="inlineStr"/>
      <c r="I54" s="3" t="inlineStr"/>
      <c r="J54" s="3" t="inlineStr"/>
    </row>
    <row r="55">
      <c r="A55" s="3" t="inlineStr">
        <is>
          <t>7.9</t>
        </is>
      </c>
      <c r="B55" s="3" t="inlineStr">
        <is>
          <t>Sécurité des actifs hors des locaux</t>
        </is>
      </c>
      <c r="C55" s="3" t="inlineStr">
        <is>
          <t>physique</t>
        </is>
      </c>
      <c r="D55" s="3" t="inlineStr">
        <is>
          <t>Oui</t>
        </is>
      </c>
      <c r="E55" s="3" t="inlineStr">
        <is>
          <t>Partielle</t>
        </is>
      </c>
      <c r="F55" s="3" t="inlineStr">
        <is>
          <t>risque, socle</t>
        </is>
      </c>
      <c r="G55" s="3" t="inlineStr">
        <is>
          <t>Retenue pour traiter R1, R6, R7 ; corrige l'écart aux règles 30, 31 du Guide d'hygiène.</t>
        </is>
      </c>
      <c r="H55" s="3" t="inlineStr">
        <is>
          <t>N07</t>
        </is>
      </c>
      <c r="I55" s="3" t="inlineStr">
        <is>
          <t>R1, R6, R7</t>
        </is>
      </c>
      <c r="J55" s="3" t="inlineStr"/>
    </row>
    <row r="56">
      <c r="A56" s="3" t="inlineStr">
        <is>
          <t>7.10</t>
        </is>
      </c>
      <c r="B56" s="3" t="inlineStr">
        <is>
          <t>Supports de stockage</t>
        </is>
      </c>
      <c r="C56" s="3" t="inlineStr">
        <is>
          <t>physique</t>
        </is>
      </c>
      <c r="D56" s="3" t="inlineStr">
        <is>
          <t>Oui</t>
        </is>
      </c>
      <c r="E56" s="3" t="inlineStr">
        <is>
          <t>Partielle</t>
        </is>
      </c>
      <c r="F56" s="3" t="inlineStr">
        <is>
          <t>risque, socle</t>
        </is>
      </c>
      <c r="G56" s="3" t="inlineStr">
        <is>
          <t>Retenue pour traiter R1, R7 ; corrige l'écart aux règles 15, 30 du Guide d'hygiène.</t>
        </is>
      </c>
      <c r="H56" s="3" t="inlineStr">
        <is>
          <t>N03</t>
        </is>
      </c>
      <c r="I56" s="3" t="inlineStr">
        <is>
          <t>R1, R7</t>
        </is>
      </c>
      <c r="J56" s="3" t="inlineStr"/>
    </row>
    <row r="57">
      <c r="A57" s="3" t="inlineStr">
        <is>
          <t>7.11</t>
        </is>
      </c>
      <c r="B57" s="3" t="inlineStr">
        <is>
          <t>Services généraux (énergie, climatisation)</t>
        </is>
      </c>
      <c r="C57" s="3" t="inlineStr">
        <is>
          <t>physique</t>
        </is>
      </c>
      <c r="D57" s="3" t="inlineStr">
        <is>
          <t>Oui</t>
        </is>
      </c>
      <c r="E57" s="3" t="inlineStr">
        <is>
          <t>Partielle</t>
        </is>
      </c>
      <c r="F57" s="3" t="inlineStr">
        <is>
          <t>bonne pratique</t>
        </is>
      </c>
      <c r="G57" s="3" t="inlineStr">
        <is>
          <t>Alimentation électrique secourue et climatisation des salles serveurs.</t>
        </is>
      </c>
      <c r="H57" s="3" t="inlineStr"/>
      <c r="I57" s="3" t="inlineStr"/>
      <c r="J57" s="3" t="inlineStr"/>
    </row>
    <row r="58">
      <c r="A58" s="3" t="inlineStr">
        <is>
          <t>7.12</t>
        </is>
      </c>
      <c r="B58" s="3" t="inlineStr">
        <is>
          <t>Sécurité du câblage</t>
        </is>
      </c>
      <c r="C58" s="3" t="inlineStr">
        <is>
          <t>physique</t>
        </is>
      </c>
      <c r="D58" s="3" t="inlineStr">
        <is>
          <t>Oui</t>
        </is>
      </c>
      <c r="E58" s="3" t="inlineStr">
        <is>
          <t>À mettre en œuvre</t>
        </is>
      </c>
      <c r="F58" s="3" t="inlineStr">
        <is>
          <t>bonne pratique</t>
        </is>
      </c>
      <c r="G58" s="3" t="inlineStr">
        <is>
          <t>Protéger le câblage réseau et électrique contre l'interception et les dégradations.</t>
        </is>
      </c>
      <c r="H58" s="3" t="inlineStr"/>
      <c r="I58" s="3" t="inlineStr"/>
      <c r="J58" s="3" t="inlineStr"/>
    </row>
    <row r="59">
      <c r="A59" s="3" t="inlineStr">
        <is>
          <t>7.13</t>
        </is>
      </c>
      <c r="B59" s="3" t="inlineStr">
        <is>
          <t>Maintenance du matériel</t>
        </is>
      </c>
      <c r="C59" s="3" t="inlineStr">
        <is>
          <t>physique</t>
        </is>
      </c>
      <c r="D59" s="3" t="inlineStr">
        <is>
          <t>Oui</t>
        </is>
      </c>
      <c r="E59" s="3" t="inlineStr">
        <is>
          <t>À mettre en œuvre</t>
        </is>
      </c>
      <c r="F59" s="3" t="inlineStr">
        <is>
          <t>risque, socle</t>
        </is>
      </c>
      <c r="G59" s="3" t="inlineStr">
        <is>
          <t>Retenue pour traiter R4, R5, R6, R7 ; corrige l'écart à la règle 35 du Guide d'hygiène.</t>
        </is>
      </c>
      <c r="H59" s="3" t="inlineStr">
        <is>
          <t>M09</t>
        </is>
      </c>
      <c r="I59" s="3" t="inlineStr">
        <is>
          <t>R4, R5, R6, R7</t>
        </is>
      </c>
      <c r="J59" s="3" t="inlineStr"/>
    </row>
    <row r="60">
      <c r="A60" s="3" t="inlineStr">
        <is>
          <t>7.14</t>
        </is>
      </c>
      <c r="B60" s="3" t="inlineStr">
        <is>
          <t>Mise au rebut ou réutilisation sécurisée du matériel</t>
        </is>
      </c>
      <c r="C60" s="3" t="inlineStr">
        <is>
          <t>physique</t>
        </is>
      </c>
      <c r="D60" s="3" t="inlineStr">
        <is>
          <t>Oui</t>
        </is>
      </c>
      <c r="E60" s="3" t="inlineStr">
        <is>
          <t>À mettre en œuvre</t>
        </is>
      </c>
      <c r="F60" s="3" t="inlineStr">
        <is>
          <t>bonne pratique</t>
        </is>
      </c>
      <c r="G60" s="3" t="inlineStr">
        <is>
          <t>Effacer ou détruire les supports avant mise au rebut, avec traçabilité.</t>
        </is>
      </c>
      <c r="H60" s="3" t="inlineStr"/>
      <c r="I60" s="3" t="inlineStr"/>
      <c r="J60" s="3" t="inlineStr"/>
    </row>
    <row r="61">
      <c r="A61" s="3" t="inlineStr">
        <is>
          <t>8.1</t>
        </is>
      </c>
      <c r="B61" s="3" t="inlineStr">
        <is>
          <t>Terminaux des utilisateurs</t>
        </is>
      </c>
      <c r="C61" s="3" t="inlineStr">
        <is>
          <t>technologique</t>
        </is>
      </c>
      <c r="D61" s="3" t="inlineStr">
        <is>
          <t>Oui</t>
        </is>
      </c>
      <c r="E61" s="3" t="inlineStr">
        <is>
          <t>Partielle</t>
        </is>
      </c>
      <c r="F61" s="3" t="inlineStr">
        <is>
          <t>risque, socle</t>
        </is>
      </c>
      <c r="G61" s="3" t="inlineStr">
        <is>
          <t>Retenue pour traiter R1, R4, R6, R7 ; corrige l'écart aux règles 7, 14, 16, 17, 33 du Guide d'hygiène.</t>
        </is>
      </c>
      <c r="H61" s="3" t="inlineStr">
        <is>
          <t>M13, N07</t>
        </is>
      </c>
      <c r="I61" s="3" t="inlineStr">
        <is>
          <t>R1, R4, R6, R7</t>
        </is>
      </c>
      <c r="J61" s="3" t="inlineStr"/>
    </row>
    <row r="62">
      <c r="A62" s="3" t="inlineStr">
        <is>
          <t>8.2</t>
        </is>
      </c>
      <c r="B62" s="3" t="inlineStr">
        <is>
          <t>Droits d'accès privilégiés</t>
        </is>
      </c>
      <c r="C62" s="3" t="inlineStr">
        <is>
          <t>technologique</t>
        </is>
      </c>
      <c r="D62" s="3" t="inlineStr">
        <is>
          <t>Oui</t>
        </is>
      </c>
      <c r="E62" s="3" t="inlineStr">
        <is>
          <t>À mettre en œuvre</t>
        </is>
      </c>
      <c r="F62" s="3" t="inlineStr">
        <is>
          <t>risque, socle</t>
        </is>
      </c>
      <c r="G62" s="3" t="inlineStr">
        <is>
          <t>Retenue pour traiter R3, R6, R7 ; corrige l'écart aux règles 5, 27, 28, 29 du Guide d'hygiène.</t>
        </is>
      </c>
      <c r="H62" s="3" t="inlineStr">
        <is>
          <t>N04, N05, N11</t>
        </is>
      </c>
      <c r="I62" s="3" t="inlineStr">
        <is>
          <t>R3, R6, R7</t>
        </is>
      </c>
      <c r="J62" s="3" t="inlineStr"/>
    </row>
    <row r="63">
      <c r="A63" s="3" t="inlineStr">
        <is>
          <t>8.3</t>
        </is>
      </c>
      <c r="B63" s="3" t="inlineStr">
        <is>
          <t>Restriction d'accès à l'information</t>
        </is>
      </c>
      <c r="C63" s="3" t="inlineStr">
        <is>
          <t>technologique</t>
        </is>
      </c>
      <c r="D63" s="3" t="inlineStr">
        <is>
          <t>Oui</t>
        </is>
      </c>
      <c r="E63" s="3" t="inlineStr">
        <is>
          <t>Partielle</t>
        </is>
      </c>
      <c r="F63" s="3" t="inlineStr">
        <is>
          <t>risque, socle</t>
        </is>
      </c>
      <c r="G63" s="3" t="inlineStr">
        <is>
          <t>Retenue pour traiter R1, R2, R3, R5, R6, R7 ; corrige l'écart à la règle 9 du Guide d'hygiène.</t>
        </is>
      </c>
      <c r="H63" s="3" t="inlineStr">
        <is>
          <t>M06, M07, N10</t>
        </is>
      </c>
      <c r="I63" s="3" t="inlineStr">
        <is>
          <t>R1, R2, R3, R5, R6, R7</t>
        </is>
      </c>
      <c r="J63" s="3" t="inlineStr"/>
    </row>
    <row r="64">
      <c r="A64" s="3" t="inlineStr">
        <is>
          <t>8.4</t>
        </is>
      </c>
      <c r="B64" s="3" t="inlineStr">
        <is>
          <t>Accès au code source</t>
        </is>
      </c>
      <c r="C64" s="3" t="inlineStr">
        <is>
          <t>technologique</t>
        </is>
      </c>
      <c r="D64" s="3" t="inlineStr">
        <is>
          <t>Non</t>
        </is>
      </c>
      <c r="E64" s="3" t="inlineStr">
        <is>
          <t>Exclue</t>
        </is>
      </c>
      <c r="F64" s="3" t="inlineStr"/>
      <c r="G64" s="3" t="inlineStr">
        <is>
          <t>L'entreprise ne développe pas de logiciel : il n'y a pas de code source à protéger (hypothèse de ce cas).</t>
        </is>
      </c>
      <c r="H64" s="3" t="inlineStr"/>
      <c r="I64" s="3" t="inlineStr"/>
      <c r="J64" s="3" t="inlineStr">
        <is>
          <t>Direction générale</t>
        </is>
      </c>
    </row>
    <row r="65">
      <c r="A65" s="3" t="inlineStr">
        <is>
          <t>8.5</t>
        </is>
      </c>
      <c r="B65" s="3" t="inlineStr">
        <is>
          <t>Authentification sécurisée</t>
        </is>
      </c>
      <c r="C65" s="3" t="inlineStr">
        <is>
          <t>technologique</t>
        </is>
      </c>
      <c r="D65" s="3" t="inlineStr">
        <is>
          <t>Oui</t>
        </is>
      </c>
      <c r="E65" s="3" t="inlineStr">
        <is>
          <t>Partielle</t>
        </is>
      </c>
      <c r="F65" s="3" t="inlineStr">
        <is>
          <t>risque, socle</t>
        </is>
      </c>
      <c r="G65" s="3" t="inlineStr">
        <is>
          <t>Retenue pour traiter R3, R6, R7 ; corrige l'écart aux règles 10, 13 du Guide d'hygiène.</t>
        </is>
      </c>
      <c r="H65" s="3" t="inlineStr">
        <is>
          <t>N04</t>
        </is>
      </c>
      <c r="I65" s="3" t="inlineStr">
        <is>
          <t>R3, R6, R7</t>
        </is>
      </c>
      <c r="J65" s="3" t="inlineStr"/>
    </row>
    <row r="66">
      <c r="A66" s="3" t="inlineStr">
        <is>
          <t>8.6</t>
        </is>
      </c>
      <c r="B66" s="3" t="inlineStr">
        <is>
          <t>Dimensionnement des ressources</t>
        </is>
      </c>
      <c r="C66" s="3" t="inlineStr">
        <is>
          <t>technologique</t>
        </is>
      </c>
      <c r="D66" s="3" t="inlineStr">
        <is>
          <t>Oui</t>
        </is>
      </c>
      <c r="E66" s="3" t="inlineStr">
        <is>
          <t>À mettre en œuvre</t>
        </is>
      </c>
      <c r="F66" s="3" t="inlineStr">
        <is>
          <t>bonne pratique</t>
        </is>
      </c>
      <c r="G66" s="3" t="inlineStr">
        <is>
          <t>Surveiller la capacité des serveurs et du réseau, notamment en pic d'épidémie.</t>
        </is>
      </c>
      <c r="H66" s="3" t="inlineStr"/>
      <c r="I66" s="3" t="inlineStr"/>
      <c r="J66" s="3" t="inlineStr"/>
    </row>
    <row r="67">
      <c r="A67" s="3" t="inlineStr">
        <is>
          <t>8.7</t>
        </is>
      </c>
      <c r="B67" s="3" t="inlineStr">
        <is>
          <t>Protection contre les logiciels malveillants</t>
        </is>
      </c>
      <c r="C67" s="3" t="inlineStr">
        <is>
          <t>technologique</t>
        </is>
      </c>
      <c r="D67" s="3" t="inlineStr">
        <is>
          <t>Oui</t>
        </is>
      </c>
      <c r="E67" s="3" t="inlineStr">
        <is>
          <t>Partielle</t>
        </is>
      </c>
      <c r="F67" s="3" t="inlineStr">
        <is>
          <t>risque, socle</t>
        </is>
      </c>
      <c r="G67" s="3" t="inlineStr">
        <is>
          <t>Retenue pour traiter R1, R6, R7 ; corrige l'écart aux règles 14, 24 du Guide d'hygiène.</t>
        </is>
      </c>
      <c r="H67" s="3" t="inlineStr">
        <is>
          <t>N07</t>
        </is>
      </c>
      <c r="I67" s="3" t="inlineStr">
        <is>
          <t>R1, R6, R7</t>
        </is>
      </c>
      <c r="J67" s="3" t="inlineStr"/>
    </row>
    <row r="68">
      <c r="A68" s="3" t="inlineStr">
        <is>
          <t>8.8</t>
        </is>
      </c>
      <c r="B68" s="3" t="inlineStr">
        <is>
          <t>Gestion des vulnérabilités techniques</t>
        </is>
      </c>
      <c r="C68" s="3" t="inlineStr">
        <is>
          <t>technologique</t>
        </is>
      </c>
      <c r="D68" s="3" t="inlineStr">
        <is>
          <t>Oui</t>
        </is>
      </c>
      <c r="E68" s="3" t="inlineStr">
        <is>
          <t>À mettre en œuvre</t>
        </is>
      </c>
      <c r="F68" s="3" t="inlineStr">
        <is>
          <t>risque, socle</t>
        </is>
      </c>
      <c r="G68" s="3" t="inlineStr">
        <is>
          <t>Retenue pour traiter R1, R4, R5, R6, R7 ; corrige l'écart aux règles 34, 35 du Guide d'hygiène.</t>
        </is>
      </c>
      <c r="H68" s="3" t="inlineStr">
        <is>
          <t>M02, M09, N02</t>
        </is>
      </c>
      <c r="I68" s="3" t="inlineStr">
        <is>
          <t>R1, R4, R5, R6, R7</t>
        </is>
      </c>
      <c r="J68" s="3" t="inlineStr"/>
    </row>
    <row r="69">
      <c r="A69" s="3" t="inlineStr">
        <is>
          <t>8.9</t>
        </is>
      </c>
      <c r="B69" s="3" t="inlineStr">
        <is>
          <t>Gestion de la configuration</t>
        </is>
      </c>
      <c r="C69" s="3" t="inlineStr">
        <is>
          <t>technologique</t>
        </is>
      </c>
      <c r="D69" s="3" t="inlineStr">
        <is>
          <t>Oui</t>
        </is>
      </c>
      <c r="E69" s="3" t="inlineStr">
        <is>
          <t>Partielle</t>
        </is>
      </c>
      <c r="F69" s="3" t="inlineStr">
        <is>
          <t>risque, socle</t>
        </is>
      </c>
      <c r="G69" s="3" t="inlineStr">
        <is>
          <t>Retenue pour traiter R1, R4, R5, R6, R7 ; corrige l'écart aux règles 12, 14, 16 du Guide d'hygiène.</t>
        </is>
      </c>
      <c r="H69" s="3" t="inlineStr">
        <is>
          <t>M09, N07</t>
        </is>
      </c>
      <c r="I69" s="3" t="inlineStr">
        <is>
          <t>R1, R4, R5, R6, R7</t>
        </is>
      </c>
      <c r="J69" s="3" t="inlineStr"/>
    </row>
    <row r="70">
      <c r="A70" s="3" t="inlineStr">
        <is>
          <t>8.10</t>
        </is>
      </c>
      <c r="B70" s="3" t="inlineStr">
        <is>
          <t>Suppression de l'information</t>
        </is>
      </c>
      <c r="C70" s="3" t="inlineStr">
        <is>
          <t>technologique</t>
        </is>
      </c>
      <c r="D70" s="3" t="inlineStr">
        <is>
          <t>Oui</t>
        </is>
      </c>
      <c r="E70" s="3" t="inlineStr">
        <is>
          <t>À mettre en œuvre</t>
        </is>
      </c>
      <c r="F70" s="3" t="inlineStr">
        <is>
          <t>légal</t>
        </is>
      </c>
      <c r="G70" s="3" t="inlineStr">
        <is>
          <t>Supprimer les données personnelles à la fin de leur durée de conservation.</t>
        </is>
      </c>
      <c r="H70" s="3" t="inlineStr"/>
      <c r="I70" s="3" t="inlineStr"/>
      <c r="J70" s="3" t="inlineStr"/>
    </row>
    <row r="71">
      <c r="A71" s="3" t="inlineStr">
        <is>
          <t>8.11</t>
        </is>
      </c>
      <c r="B71" s="3" t="inlineStr">
        <is>
          <t>Masquage des données</t>
        </is>
      </c>
      <c r="C71" s="3" t="inlineStr">
        <is>
          <t>technologique</t>
        </is>
      </c>
      <c r="D71" s="3" t="inlineStr">
        <is>
          <t>Oui</t>
        </is>
      </c>
      <c r="E71" s="3" t="inlineStr">
        <is>
          <t>À mettre en œuvre</t>
        </is>
      </c>
      <c r="F71" s="3" t="inlineStr">
        <is>
          <t>légal</t>
        </is>
      </c>
      <c r="G71" s="3" t="inlineStr">
        <is>
          <t>Pseudonymiser les données personnelles des essais cliniques hors des usages qui l'exigent.</t>
        </is>
      </c>
      <c r="H71" s="3" t="inlineStr"/>
      <c r="I71" s="3" t="inlineStr"/>
      <c r="J71" s="3" t="inlineStr"/>
    </row>
    <row r="72">
      <c r="A72" s="3" t="inlineStr">
        <is>
          <t>8.12</t>
        </is>
      </c>
      <c r="B72" s="3" t="inlineStr">
        <is>
          <t>Prévention des fuites de données</t>
        </is>
      </c>
      <c r="C72" s="3" t="inlineStr">
        <is>
          <t>technologique</t>
        </is>
      </c>
      <c r="D72" s="3" t="inlineStr">
        <is>
          <t>Oui</t>
        </is>
      </c>
      <c r="E72" s="3" t="inlineStr">
        <is>
          <t>Partielle</t>
        </is>
      </c>
      <c r="F72" s="3" t="inlineStr">
        <is>
          <t>risque</t>
        </is>
      </c>
      <c r="G72" s="3" t="inlineStr">
        <is>
          <t>Retenue pour traiter R1, R3, R6, R7.</t>
        </is>
      </c>
      <c r="H72" s="3" t="inlineStr">
        <is>
          <t>M07</t>
        </is>
      </c>
      <c r="I72" s="3" t="inlineStr">
        <is>
          <t>R1, R3, R6, R7</t>
        </is>
      </c>
      <c r="J72" s="3" t="inlineStr"/>
    </row>
    <row r="73">
      <c r="A73" s="3" t="inlineStr">
        <is>
          <t>8.13</t>
        </is>
      </c>
      <c r="B73" s="3" t="inlineStr">
        <is>
          <t>Sauvegarde de l'information</t>
        </is>
      </c>
      <c r="C73" s="3" t="inlineStr">
        <is>
          <t>technologique</t>
        </is>
      </c>
      <c r="D73" s="3" t="inlineStr">
        <is>
          <t>Oui</t>
        </is>
      </c>
      <c r="E73" s="3" t="inlineStr">
        <is>
          <t>À mettre en œuvre</t>
        </is>
      </c>
      <c r="F73" s="3" t="inlineStr">
        <is>
          <t>risque, socle</t>
        </is>
      </c>
      <c r="G73" s="3" t="inlineStr">
        <is>
          <t>Retenue pour traiter R4, R6, R7 ; corrige l'écart à la règle 37 du Guide d'hygiène.</t>
        </is>
      </c>
      <c r="H73" s="3" t="inlineStr">
        <is>
          <t>N06</t>
        </is>
      </c>
      <c r="I73" s="3" t="inlineStr">
        <is>
          <t>R4, R6, R7</t>
        </is>
      </c>
      <c r="J73" s="3" t="inlineStr"/>
    </row>
    <row r="74">
      <c r="A74" s="3" t="inlineStr">
        <is>
          <t>8.14</t>
        </is>
      </c>
      <c r="B74" s="3" t="inlineStr">
        <is>
          <t>Redondance des moyens de traitement</t>
        </is>
      </c>
      <c r="C74" s="3" t="inlineStr">
        <is>
          <t>technologique</t>
        </is>
      </c>
      <c r="D74" s="3" t="inlineStr">
        <is>
          <t>Oui</t>
        </is>
      </c>
      <c r="E74" s="3" t="inlineStr">
        <is>
          <t>Partielle</t>
        </is>
      </c>
      <c r="F74" s="3" t="inlineStr">
        <is>
          <t>risque</t>
        </is>
      </c>
      <c r="G74" s="3" t="inlineStr">
        <is>
          <t>Retenue pour traiter R4, R5, R6, R7.</t>
        </is>
      </c>
      <c r="H74" s="3" t="inlineStr">
        <is>
          <t>M12</t>
        </is>
      </c>
      <c r="I74" s="3" t="inlineStr">
        <is>
          <t>R4, R5, R6, R7</t>
        </is>
      </c>
      <c r="J74" s="3" t="inlineStr"/>
    </row>
    <row r="75">
      <c r="A75" s="3" t="inlineStr">
        <is>
          <t>8.15</t>
        </is>
      </c>
      <c r="B75" s="3" t="inlineStr">
        <is>
          <t>Journalisation</t>
        </is>
      </c>
      <c r="C75" s="3" t="inlineStr">
        <is>
          <t>technologique</t>
        </is>
      </c>
      <c r="D75" s="3" t="inlineStr">
        <is>
          <t>Oui</t>
        </is>
      </c>
      <c r="E75" s="3" t="inlineStr">
        <is>
          <t>À mettre en œuvre</t>
        </is>
      </c>
      <c r="F75" s="3" t="inlineStr">
        <is>
          <t>risque, socle</t>
        </is>
      </c>
      <c r="G75" s="3" t="inlineStr">
        <is>
          <t>Retenue pour traiter R1, R3, R5, R6, R7 ; corrige l'écart à la règle 36 du Guide d'hygiène.</t>
        </is>
      </c>
      <c r="H75" s="3" t="inlineStr">
        <is>
          <t>M11, N10</t>
        </is>
      </c>
      <c r="I75" s="3" t="inlineStr">
        <is>
          <t>R1, R3, R5, R6, R7</t>
        </is>
      </c>
      <c r="J75" s="3" t="inlineStr"/>
    </row>
    <row r="76">
      <c r="A76" s="3" t="inlineStr">
        <is>
          <t>8.16</t>
        </is>
      </c>
      <c r="B76" s="3" t="inlineStr">
        <is>
          <t>Activités de surveillance</t>
        </is>
      </c>
      <c r="C76" s="3" t="inlineStr">
        <is>
          <t>technologique</t>
        </is>
      </c>
      <c r="D76" s="3" t="inlineStr">
        <is>
          <t>Oui</t>
        </is>
      </c>
      <c r="E76" s="3" t="inlineStr">
        <is>
          <t>À mettre en œuvre</t>
        </is>
      </c>
      <c r="F76" s="3" t="inlineStr">
        <is>
          <t>risque, socle</t>
        </is>
      </c>
      <c r="G76" s="3" t="inlineStr">
        <is>
          <t>Retenue pour traiter R1, R3, R6, R7 ; corrige l'écart à la règle 36 du Guide d'hygiène.</t>
        </is>
      </c>
      <c r="H76" s="3" t="inlineStr">
        <is>
          <t>M11</t>
        </is>
      </c>
      <c r="I76" s="3" t="inlineStr">
        <is>
          <t>R1, R3, R6, R7</t>
        </is>
      </c>
      <c r="J76" s="3" t="inlineStr"/>
    </row>
    <row r="77">
      <c r="A77" s="3" t="inlineStr">
        <is>
          <t>8.17</t>
        </is>
      </c>
      <c r="B77" s="3" t="inlineStr">
        <is>
          <t>Synchronisation des horloges</t>
        </is>
      </c>
      <c r="C77" s="3" t="inlineStr">
        <is>
          <t>technologique</t>
        </is>
      </c>
      <c r="D77" s="3" t="inlineStr">
        <is>
          <t>Oui</t>
        </is>
      </c>
      <c r="E77" s="3" t="inlineStr">
        <is>
          <t>À mettre en œuvre</t>
        </is>
      </c>
      <c r="F77" s="3" t="inlineStr">
        <is>
          <t>risque, socle</t>
        </is>
      </c>
      <c r="G77" s="3" t="inlineStr">
        <is>
          <t>Retenue pour traiter R1, R3, R6, R7 ; corrige l'écart à la règle 36 du Guide d'hygiène.</t>
        </is>
      </c>
      <c r="H77" s="3" t="inlineStr">
        <is>
          <t>M11</t>
        </is>
      </c>
      <c r="I77" s="3" t="inlineStr">
        <is>
          <t>R1, R3, R6, R7</t>
        </is>
      </c>
      <c r="J77" s="3" t="inlineStr"/>
    </row>
    <row r="78">
      <c r="A78" s="3" t="inlineStr">
        <is>
          <t>8.18</t>
        </is>
      </c>
      <c r="B78" s="3" t="inlineStr">
        <is>
          <t>Utilisation de programmes utilitaires à privilèges</t>
        </is>
      </c>
      <c r="C78" s="3" t="inlineStr">
        <is>
          <t>technologique</t>
        </is>
      </c>
      <c r="D78" s="3" t="inlineStr">
        <is>
          <t>Oui</t>
        </is>
      </c>
      <c r="E78" s="3" t="inlineStr">
        <is>
          <t>À mettre en œuvre</t>
        </is>
      </c>
      <c r="F78" s="3" t="inlineStr">
        <is>
          <t>risque, socle</t>
        </is>
      </c>
      <c r="G78" s="3" t="inlineStr">
        <is>
          <t>Retenue pour traiter R1, R6, R7 ; corrige l'écart à la règle 29 du Guide d'hygiène.</t>
        </is>
      </c>
      <c r="H78" s="3" t="inlineStr">
        <is>
          <t>N07</t>
        </is>
      </c>
      <c r="I78" s="3" t="inlineStr">
        <is>
          <t>R1, R6, R7</t>
        </is>
      </c>
      <c r="J78" s="3" t="inlineStr"/>
    </row>
    <row r="79">
      <c r="A79" s="3" t="inlineStr">
        <is>
          <t>8.19</t>
        </is>
      </c>
      <c r="B79" s="3" t="inlineStr">
        <is>
          <t>Installation de logiciels sur les systèmes en exploitation</t>
        </is>
      </c>
      <c r="C79" s="3" t="inlineStr">
        <is>
          <t>technologique</t>
        </is>
      </c>
      <c r="D79" s="3" t="inlineStr">
        <is>
          <t>Oui</t>
        </is>
      </c>
      <c r="E79" s="3" t="inlineStr">
        <is>
          <t>À mettre en œuvre</t>
        </is>
      </c>
      <c r="F79" s="3" t="inlineStr">
        <is>
          <t>risque, socle</t>
        </is>
      </c>
      <c r="G79" s="3" t="inlineStr">
        <is>
          <t>Retenue pour traiter R1, R4, R6, R7 ; corrige l'écart à la règle 34 du Guide d'hygiène.</t>
        </is>
      </c>
      <c r="H79" s="3" t="inlineStr">
        <is>
          <t>M13, N02</t>
        </is>
      </c>
      <c r="I79" s="3" t="inlineStr">
        <is>
          <t>R1, R4, R6, R7</t>
        </is>
      </c>
      <c r="J79" s="3" t="inlineStr"/>
    </row>
    <row r="80">
      <c r="A80" s="3" t="inlineStr">
        <is>
          <t>8.20</t>
        </is>
      </c>
      <c r="B80" s="3" t="inlineStr">
        <is>
          <t>Sécurité des réseaux</t>
        </is>
      </c>
      <c r="C80" s="3" t="inlineStr">
        <is>
          <t>technologique</t>
        </is>
      </c>
      <c r="D80" s="3" t="inlineStr">
        <is>
          <t>Oui</t>
        </is>
      </c>
      <c r="E80" s="3" t="inlineStr">
        <is>
          <t>Partielle</t>
        </is>
      </c>
      <c r="F80" s="3" t="inlineStr">
        <is>
          <t>risque, socle</t>
        </is>
      </c>
      <c r="G80" s="3" t="inlineStr">
        <is>
          <t>Retenue pour traiter R1, R6, R7 ; corrige l'écart aux règles 7, 17, 20, 22, 23, 25, 32 du Guide d'hygiène.</t>
        </is>
      </c>
      <c r="H80" s="3" t="inlineStr">
        <is>
          <t>N01</t>
        </is>
      </c>
      <c r="I80" s="3" t="inlineStr">
        <is>
          <t>R1, R6, R7</t>
        </is>
      </c>
      <c r="J80" s="3" t="inlineStr"/>
    </row>
    <row r="81">
      <c r="A81" s="3" t="inlineStr">
        <is>
          <t>8.21</t>
        </is>
      </c>
      <c r="B81" s="3" t="inlineStr">
        <is>
          <t>Sécurité des services réseau</t>
        </is>
      </c>
      <c r="C81" s="3" t="inlineStr">
        <is>
          <t>technologique</t>
        </is>
      </c>
      <c r="D81" s="3" t="inlineStr">
        <is>
          <t>Oui</t>
        </is>
      </c>
      <c r="E81" s="3" t="inlineStr">
        <is>
          <t>Partielle</t>
        </is>
      </c>
      <c r="F81" s="3" t="inlineStr">
        <is>
          <t>risque, socle</t>
        </is>
      </c>
      <c r="G81" s="3" t="inlineStr">
        <is>
          <t>Retenue pour traiter R2 ; corrige l'écart aux règles 20, 21, 25, 32 du Guide d'hygiène.</t>
        </is>
      </c>
      <c r="H81" s="3" t="inlineStr">
        <is>
          <t>M10</t>
        </is>
      </c>
      <c r="I81" s="3" t="inlineStr">
        <is>
          <t>R2</t>
        </is>
      </c>
      <c r="J81" s="3" t="inlineStr"/>
    </row>
    <row r="82">
      <c r="A82" s="3" t="inlineStr">
        <is>
          <t>8.22</t>
        </is>
      </c>
      <c r="B82" s="3" t="inlineStr">
        <is>
          <t>Cloisonnement des réseaux</t>
        </is>
      </c>
      <c r="C82" s="3" t="inlineStr">
        <is>
          <t>technologique</t>
        </is>
      </c>
      <c r="D82" s="3" t="inlineStr">
        <is>
          <t>Oui</t>
        </is>
      </c>
      <c r="E82" s="3" t="inlineStr">
        <is>
          <t>Partielle</t>
        </is>
      </c>
      <c r="F82" s="3" t="inlineStr">
        <is>
          <t>risque, socle</t>
        </is>
      </c>
      <c r="G82" s="3" t="inlineStr">
        <is>
          <t>Retenue pour traiter R1, R3, R4, R5, R6, R7 ; corrige l'écart aux règles 19, 20, 23, 28 du Guide d'hygiène.</t>
        </is>
      </c>
      <c r="H82" s="3" t="inlineStr">
        <is>
          <t>M07, M09, N01</t>
        </is>
      </c>
      <c r="I82" s="3" t="inlineStr">
        <is>
          <t>R1, R3, R4, R5, R6, R7</t>
        </is>
      </c>
      <c r="J82" s="3" t="inlineStr"/>
    </row>
    <row r="83">
      <c r="A83" s="3" t="inlineStr">
        <is>
          <t>8.23</t>
        </is>
      </c>
      <c r="B83" s="3" t="inlineStr">
        <is>
          <t>Filtrage web</t>
        </is>
      </c>
      <c r="C83" s="3" t="inlineStr">
        <is>
          <t>technologique</t>
        </is>
      </c>
      <c r="D83" s="3" t="inlineStr">
        <is>
          <t>Oui</t>
        </is>
      </c>
      <c r="E83" s="3" t="inlineStr">
        <is>
          <t>Partielle</t>
        </is>
      </c>
      <c r="F83" s="3" t="inlineStr">
        <is>
          <t>risque, socle</t>
        </is>
      </c>
      <c r="G83" s="3" t="inlineStr">
        <is>
          <t>Retenue pour traiter R1, R6, R7 ; corrige l'écart aux règles 22, 24, 27 du Guide d'hygiène.</t>
        </is>
      </c>
      <c r="H83" s="3" t="inlineStr">
        <is>
          <t>N07</t>
        </is>
      </c>
      <c r="I83" s="3" t="inlineStr">
        <is>
          <t>R1, R6, R7</t>
        </is>
      </c>
      <c r="J83" s="3" t="inlineStr"/>
    </row>
    <row r="84">
      <c r="A84" s="3" t="inlineStr">
        <is>
          <t>8.24</t>
        </is>
      </c>
      <c r="B84" s="3" t="inlineStr">
        <is>
          <t>Utilisation de la cryptographie</t>
        </is>
      </c>
      <c r="C84" s="3" t="inlineStr">
        <is>
          <t>technologique</t>
        </is>
      </c>
      <c r="D84" s="3" t="inlineStr">
        <is>
          <t>Oui</t>
        </is>
      </c>
      <c r="E84" s="3" t="inlineStr">
        <is>
          <t>Partielle</t>
        </is>
      </c>
      <c r="F84" s="3" t="inlineStr">
        <is>
          <t>risque, socle</t>
        </is>
      </c>
      <c r="G84" s="3" t="inlineStr">
        <is>
          <t>Retenue pour traiter R1, R2, R3, R5, R6, R7 ; corrige l'écart aux règles 11, 18, 21, 31 du Guide d'hygiène.</t>
        </is>
      </c>
      <c r="H84" s="3" t="inlineStr">
        <is>
          <t>M07, M10, N07, N10</t>
        </is>
      </c>
      <c r="I84" s="3" t="inlineStr">
        <is>
          <t>R1, R2, R3, R5, R6, R7</t>
        </is>
      </c>
      <c r="J84" s="3" t="inlineStr"/>
    </row>
    <row r="85">
      <c r="A85" s="3" t="inlineStr">
        <is>
          <t>8.25</t>
        </is>
      </c>
      <c r="B85" s="3" t="inlineStr">
        <is>
          <t>Cycle de développement sécurisé</t>
        </is>
      </c>
      <c r="C85" s="3" t="inlineStr">
        <is>
          <t>technologique</t>
        </is>
      </c>
      <c r="D85" s="3" t="inlineStr">
        <is>
          <t>Non</t>
        </is>
      </c>
      <c r="E85" s="3" t="inlineStr">
        <is>
          <t>Exclue</t>
        </is>
      </c>
      <c r="F85" s="3" t="inlineStr"/>
      <c r="G85" s="3" t="inlineStr">
        <is>
          <t>Aucun cycle de développement logiciel : l'ERP et les systèmes industriels sont des produits acquis.</t>
        </is>
      </c>
      <c r="H85" s="3" t="inlineStr"/>
      <c r="I85" s="3" t="inlineStr"/>
      <c r="J85" s="3" t="inlineStr">
        <is>
          <t>Direction générale</t>
        </is>
      </c>
    </row>
    <row r="86">
      <c r="A86" s="3" t="inlineStr">
        <is>
          <t>8.26</t>
        </is>
      </c>
      <c r="B86" s="3" t="inlineStr">
        <is>
          <t>Exigences de sécurité des applications</t>
        </is>
      </c>
      <c r="C86" s="3" t="inlineStr">
        <is>
          <t>technologique</t>
        </is>
      </c>
      <c r="D86" s="3" t="inlineStr">
        <is>
          <t>Oui</t>
        </is>
      </c>
      <c r="E86" s="3" t="inlineStr">
        <is>
          <t>À mettre en œuvre</t>
        </is>
      </c>
      <c r="F86" s="3" t="inlineStr">
        <is>
          <t>bonne pratique</t>
        </is>
      </c>
      <c r="G86" s="3" t="inlineStr">
        <is>
          <t>Exigences de sécurité dans les cahiers des charges des applications et systèmes acquis.</t>
        </is>
      </c>
      <c r="H86" s="3" t="inlineStr"/>
      <c r="I86" s="3" t="inlineStr"/>
      <c r="J86" s="3" t="inlineStr"/>
    </row>
    <row r="87">
      <c r="A87" s="3" t="inlineStr">
        <is>
          <t>8.27</t>
        </is>
      </c>
      <c r="B87" s="3" t="inlineStr">
        <is>
          <t>Architecture et principes d'ingénierie sécurisés</t>
        </is>
      </c>
      <c r="C87" s="3" t="inlineStr">
        <is>
          <t>technologique</t>
        </is>
      </c>
      <c r="D87" s="3" t="inlineStr">
        <is>
          <t>Oui</t>
        </is>
      </c>
      <c r="E87" s="3" t="inlineStr">
        <is>
          <t>À mettre en œuvre</t>
        </is>
      </c>
      <c r="F87" s="3" t="inlineStr">
        <is>
          <t>bonne pratique</t>
        </is>
      </c>
      <c r="G87" s="3" t="inlineStr">
        <is>
          <t>Principes d'architecture sécurisée pour le SI et le système industriel (moindre privilège, défense en profondeur).</t>
        </is>
      </c>
      <c r="H87" s="3" t="inlineStr"/>
      <c r="I87" s="3" t="inlineStr"/>
      <c r="J87" s="3" t="inlineStr"/>
    </row>
    <row r="88">
      <c r="A88" s="3" t="inlineStr">
        <is>
          <t>8.28</t>
        </is>
      </c>
      <c r="B88" s="3" t="inlineStr">
        <is>
          <t>Codage sécurisé</t>
        </is>
      </c>
      <c r="C88" s="3" t="inlineStr">
        <is>
          <t>technologique</t>
        </is>
      </c>
      <c r="D88" s="3" t="inlineStr">
        <is>
          <t>Non</t>
        </is>
      </c>
      <c r="E88" s="3" t="inlineStr">
        <is>
          <t>Exclue</t>
        </is>
      </c>
      <c r="F88" s="3" t="inlineStr"/>
      <c r="G88" s="3" t="inlineStr">
        <is>
          <t>Aucun code n'est écrit par l'entreprise.</t>
        </is>
      </c>
      <c r="H88" s="3" t="inlineStr"/>
      <c r="I88" s="3" t="inlineStr"/>
      <c r="J88" s="3" t="inlineStr">
        <is>
          <t>Direction générale</t>
        </is>
      </c>
    </row>
    <row r="89">
      <c r="A89" s="3" t="inlineStr">
        <is>
          <t>8.29</t>
        </is>
      </c>
      <c r="B89" s="3" t="inlineStr">
        <is>
          <t>Tests de sécurité en développement et à la recette</t>
        </is>
      </c>
      <c r="C89" s="3" t="inlineStr">
        <is>
          <t>technologique</t>
        </is>
      </c>
      <c r="D89" s="3" t="inlineStr">
        <is>
          <t>Oui</t>
        </is>
      </c>
      <c r="E89" s="3" t="inlineStr">
        <is>
          <t>À mettre en œuvre</t>
        </is>
      </c>
      <c r="F89" s="3" t="inlineStr">
        <is>
          <t>bonne pratique</t>
        </is>
      </c>
      <c r="G89" s="3" t="inlineStr">
        <is>
          <t>Tests de sécurité à la recette des systèmes acquis ou modifiés.</t>
        </is>
      </c>
      <c r="H89" s="3" t="inlineStr"/>
      <c r="I89" s="3" t="inlineStr"/>
      <c r="J89" s="3" t="inlineStr"/>
    </row>
    <row r="90">
      <c r="A90" s="3" t="inlineStr">
        <is>
          <t>8.30</t>
        </is>
      </c>
      <c r="B90" s="3" t="inlineStr">
        <is>
          <t>Développement externalisé</t>
        </is>
      </c>
      <c r="C90" s="3" t="inlineStr">
        <is>
          <t>technologique</t>
        </is>
      </c>
      <c r="D90" s="3" t="inlineStr">
        <is>
          <t>Non</t>
        </is>
      </c>
      <c r="E90" s="3" t="inlineStr">
        <is>
          <t>Exclue</t>
        </is>
      </c>
      <c r="F90" s="3" t="inlineStr"/>
      <c r="G90" s="3" t="inlineStr">
        <is>
          <t>Aucun développement n'est externalisé. Les prestations du prestataire informatique relèvent des mesures 5.19 à 5.22.</t>
        </is>
      </c>
      <c r="H90" s="3" t="inlineStr"/>
      <c r="I90" s="3" t="inlineStr"/>
      <c r="J90" s="3" t="inlineStr">
        <is>
          <t>Direction générale</t>
        </is>
      </c>
    </row>
    <row r="91">
      <c r="A91" s="3" t="inlineStr">
        <is>
          <t>8.31</t>
        </is>
      </c>
      <c r="B91" s="3" t="inlineStr">
        <is>
          <t>Séparation des environnements de développement, de test et de production</t>
        </is>
      </c>
      <c r="C91" s="3" t="inlineStr">
        <is>
          <t>technologique</t>
        </is>
      </c>
      <c r="D91" s="3" t="inlineStr">
        <is>
          <t>Oui</t>
        </is>
      </c>
      <c r="E91" s="3" t="inlineStr">
        <is>
          <t>À mettre en œuvre</t>
        </is>
      </c>
      <c r="F91" s="3" t="inlineStr">
        <is>
          <t>bonne pratique</t>
        </is>
      </c>
      <c r="G91" s="3" t="inlineStr">
        <is>
          <t>Séparer les environnements de test et de production de l'ERP et des systèmes industriels.</t>
        </is>
      </c>
      <c r="H91" s="3" t="inlineStr"/>
      <c r="I91" s="3" t="inlineStr"/>
      <c r="J91" s="3" t="inlineStr"/>
    </row>
    <row r="92">
      <c r="A92" s="3" t="inlineStr">
        <is>
          <t>8.32</t>
        </is>
      </c>
      <c r="B92" s="3" t="inlineStr">
        <is>
          <t>Gestion des changements</t>
        </is>
      </c>
      <c r="C92" s="3" t="inlineStr">
        <is>
          <t>technologique</t>
        </is>
      </c>
      <c r="D92" s="3" t="inlineStr">
        <is>
          <t>Oui</t>
        </is>
      </c>
      <c r="E92" s="3" t="inlineStr">
        <is>
          <t>Partielle</t>
        </is>
      </c>
      <c r="F92" s="3" t="inlineStr">
        <is>
          <t>légal</t>
        </is>
      </c>
      <c r="G92" s="3" t="inlineStr">
        <is>
          <t>Le contrôle des changements existe côté qualité pharmaceutique ; il reste à y ajouter le volet sécurité.</t>
        </is>
      </c>
      <c r="H92" s="3" t="inlineStr"/>
      <c r="I92" s="3" t="inlineStr"/>
      <c r="J92" s="3" t="inlineStr"/>
    </row>
    <row r="93">
      <c r="A93" s="3" t="inlineStr">
        <is>
          <t>8.33</t>
        </is>
      </c>
      <c r="B93" s="3" t="inlineStr">
        <is>
          <t>Informations de test</t>
        </is>
      </c>
      <c r="C93" s="3" t="inlineStr">
        <is>
          <t>technologique</t>
        </is>
      </c>
      <c r="D93" s="3" t="inlineStr">
        <is>
          <t>Oui</t>
        </is>
      </c>
      <c r="E93" s="3" t="inlineStr">
        <is>
          <t>À mettre en œuvre</t>
        </is>
      </c>
      <c r="F93" s="3" t="inlineStr">
        <is>
          <t>bonne pratique</t>
        </is>
      </c>
      <c r="G93" s="3" t="inlineStr">
        <is>
          <t>Protéger les données utilisées pour les tests, en particulier les données personnelles.</t>
        </is>
      </c>
      <c r="H93" s="3" t="inlineStr"/>
      <c r="I93" s="3" t="inlineStr"/>
      <c r="J93" s="3" t="inlineStr"/>
    </row>
    <row r="94">
      <c r="A94" s="3" t="inlineStr">
        <is>
          <t>8.34</t>
        </is>
      </c>
      <c r="B94" s="3" t="inlineStr">
        <is>
          <t>Protection des systèmes pendant les tests d'audit</t>
        </is>
      </c>
      <c r="C94" s="3" t="inlineStr">
        <is>
          <t>technologique</t>
        </is>
      </c>
      <c r="D94" s="3" t="inlineStr">
        <is>
          <t>Oui</t>
        </is>
      </c>
      <c r="E94" s="3" t="inlineStr">
        <is>
          <t>À mettre en œuvre</t>
        </is>
      </c>
      <c r="F94" s="3" t="inlineStr">
        <is>
          <t>risque, socle</t>
        </is>
      </c>
      <c r="G94" s="3" t="inlineStr">
        <is>
          <t>Retenue pour traiter R1, R5, R6, R7 ; corrige l'écart à la règle 38 du Guide d'hygiène.</t>
        </is>
      </c>
      <c r="H94" s="3" t="inlineStr">
        <is>
          <t>M02</t>
        </is>
      </c>
      <c r="I94" s="3" t="inlineStr">
        <is>
          <t>R1, R5, R6, R7</t>
        </is>
      </c>
      <c r="J94" s="3" t="inlineStr"/>
    </row>
  </sheetData>
  <autoFilter ref="A1:J9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60" customWidth="1" min="3" max="3"/>
    <col width="30" customWidth="1" min="4" max="4"/>
    <col width="30" customWidth="1" min="5" max="5"/>
    <col width="11" customWidth="1" min="6" max="6"/>
    <col width="13" customWidth="1" min="7" max="7"/>
    <col width="10" customWidth="1" min="8" max="8"/>
  </cols>
  <sheetData>
    <row r="1">
      <c r="A1" s="2" t="inlineStr">
        <is>
          <t>Réf.</t>
        </is>
      </c>
      <c r="B1" s="2" t="inlineStr">
        <is>
          <t>Indicateur</t>
        </is>
      </c>
      <c r="C1" s="2" t="inlineStr">
        <is>
          <t>Formule</t>
        </is>
      </c>
      <c r="D1" s="2" t="inlineStr">
        <is>
          <t>Situation de départ</t>
        </is>
      </c>
      <c r="E1" s="2" t="inlineStr">
        <is>
          <t>Cible</t>
        </is>
      </c>
      <c r="F1" s="2" t="inlineStr">
        <is>
          <t>Fréquence</t>
        </is>
      </c>
      <c r="G1" s="2" t="inlineStr">
        <is>
          <t>Responsable</t>
        </is>
      </c>
      <c r="H1" s="2" t="inlineStr">
        <is>
          <t>Lien</t>
        </is>
      </c>
    </row>
    <row r="2">
      <c r="A2" s="3" t="inlineStr">
        <is>
          <t>I01</t>
        </is>
      </c>
      <c r="B2" s="3" t="inlineStr">
        <is>
          <t>Règles du socle appliquées sans restriction</t>
        </is>
      </c>
      <c r="C2" s="3" t="inlineStr">
        <is>
          <t>nombre de règles au vert / 42</t>
        </is>
      </c>
      <c r="D2" s="3" t="inlineStr">
        <is>
          <t>1 sur 42</t>
        </is>
      </c>
      <c r="E2" s="3" t="inlineStr">
        <is>
          <t>30 sur 42 à 12 mois</t>
        </is>
      </c>
      <c r="F2" s="3" t="inlineStr">
        <is>
          <t>Semestrielle</t>
        </is>
      </c>
      <c r="G2" s="3" t="inlineStr">
        <is>
          <t>RSSI</t>
        </is>
      </c>
      <c r="H2" s="3" t="inlineStr">
        <is>
          <t>Écarts du socle réduits (guide p. 81)</t>
        </is>
      </c>
    </row>
    <row r="3">
      <c r="A3" s="3" t="inlineStr">
        <is>
          <t>I02</t>
        </is>
      </c>
      <c r="B3" s="3" t="inlineStr">
        <is>
          <t>Mesures du plan de traitement terminées</t>
        </is>
      </c>
      <c r="C3" s="3" t="inlineStr">
        <is>
          <t>mesures au statut Terminé / mesures du plan</t>
        </is>
      </c>
      <c r="D3" s="3" t="inlineStr">
        <is>
          <t>2 sur 26</t>
        </is>
      </c>
      <c r="E3" s="3" t="inlineStr">
        <is>
          <t>70 % à 12 mois</t>
        </is>
      </c>
      <c r="F3" s="3" t="inlineStr">
        <is>
          <t>Semestrielle</t>
        </is>
      </c>
      <c r="G3" s="3" t="inlineStr">
        <is>
          <t>RSSI</t>
        </is>
      </c>
      <c r="H3" s="3" t="inlineStr">
        <is>
          <t>Mesures passées de À lancer à En cours ou Terminé (guide p. 81)</t>
        </is>
      </c>
    </row>
    <row r="4">
      <c r="A4" s="3" t="inlineStr">
        <is>
          <t>I03</t>
        </is>
      </c>
      <c r="B4" s="3" t="inlineStr">
        <is>
          <t>Risques résiduels de niveau élevé</t>
        </is>
      </c>
      <c r="C4" s="3" t="inlineStr">
        <is>
          <t>nombre de scénarios de risque au niveau Élevé après traitement</t>
        </is>
      </c>
      <c r="D4" s="3" t="inlineStr">
        <is>
          <t>5 avant traitement</t>
        </is>
      </c>
      <c r="E4" s="3" t="inlineStr">
        <is>
          <t>1 (R3, sous acceptation formelle)</t>
        </is>
      </c>
      <c r="F4" s="3" t="inlineStr">
        <is>
          <t>Semestrielle</t>
        </is>
      </c>
      <c r="G4" s="3" t="inlineStr">
        <is>
          <t>Direction générale</t>
        </is>
      </c>
      <c r="H4" s="3" t="inlineStr">
        <is>
          <t>Clause 6.1.3 f</t>
        </is>
      </c>
    </row>
    <row r="5">
      <c r="A5" s="3" t="inlineStr">
        <is>
          <t>I04</t>
        </is>
      </c>
      <c r="B5" s="3" t="inlineStr">
        <is>
          <t>Délai d'application des correctifs critiques</t>
        </is>
      </c>
      <c r="C5" s="3" t="inlineStr">
        <is>
          <t>délai moyen entre publication et application</t>
        </is>
      </c>
      <c r="D5" s="3" t="inlineStr">
        <is>
          <t>Non mesuré</t>
        </is>
      </c>
      <c r="E5" s="3" t="inlineStr">
        <is>
          <t>30 jours ou moins</t>
        </is>
      </c>
      <c r="F5" s="3" t="inlineStr">
        <is>
          <t>Trimestrielle</t>
        </is>
      </c>
      <c r="G5" s="3" t="inlineStr">
        <is>
          <t>DSI</t>
        </is>
      </c>
      <c r="H5" s="3" t="inlineStr">
        <is>
          <t>Règle 34, mesure 8.8</t>
        </is>
      </c>
    </row>
    <row r="6">
      <c r="A6" s="3" t="inlineStr">
        <is>
          <t>I05</t>
        </is>
      </c>
      <c r="B6" s="3" t="inlineStr">
        <is>
          <t>Salariés sensibilisés à l'hameçonnage dans l'année</t>
        </is>
      </c>
      <c r="C6" s="3" t="inlineStr">
        <is>
          <t>salariés formés / effectif</t>
        </is>
      </c>
      <c r="D6" s="3" t="inlineStr">
        <is>
          <t>0 %</t>
        </is>
      </c>
      <c r="E6" s="3" t="inlineStr">
        <is>
          <t>95 % ou plus</t>
        </is>
      </c>
      <c r="F6" s="3" t="inlineStr">
        <is>
          <t>Annuelle</t>
        </is>
      </c>
      <c r="G6" s="3" t="inlineStr">
        <is>
          <t>RSSI</t>
        </is>
      </c>
      <c r="H6" s="3" t="inlineStr">
        <is>
          <t>M01, mesure 6.3</t>
        </is>
      </c>
    </row>
    <row r="7">
      <c r="A7" s="3" t="inlineStr">
        <is>
          <t>I06</t>
        </is>
      </c>
      <c r="B7" s="3" t="inlineStr">
        <is>
          <t>Taux de clic lors d'une campagne d'hameçonnage simulée</t>
        </is>
      </c>
      <c r="C7" s="3" t="inlineStr">
        <is>
          <t>clics / messages envoyés</t>
        </is>
      </c>
      <c r="D7" s="3" t="inlineStr">
        <is>
          <t>Non mesuré</t>
        </is>
      </c>
      <c r="E7" s="3" t="inlineStr">
        <is>
          <t>moins de 10 %</t>
        </is>
      </c>
      <c r="F7" s="3" t="inlineStr">
        <is>
          <t>Semestrielle</t>
        </is>
      </c>
      <c r="G7" s="3" t="inlineStr">
        <is>
          <t>RSSI</t>
        </is>
      </c>
      <c r="H7" s="3" t="inlineStr">
        <is>
          <t>M01</t>
        </is>
      </c>
    </row>
    <row r="8">
      <c r="A8" s="3" t="inlineStr">
        <is>
          <t>I07</t>
        </is>
      </c>
      <c r="B8" s="3" t="inlineStr">
        <is>
          <t>Prestataires et laboratoires critiques audités</t>
        </is>
      </c>
      <c r="C8" s="3" t="inlineStr">
        <is>
          <t>audités parmi F2, F3, P3</t>
        </is>
      </c>
      <c r="D8" s="3" t="inlineStr">
        <is>
          <t>0 sur 3</t>
        </is>
      </c>
      <c r="E8" s="3" t="inlineStr">
        <is>
          <t>3 sur 3 à 12 mois</t>
        </is>
      </c>
      <c r="F8" s="3" t="inlineStr">
        <is>
          <t>Semestrielle</t>
        </is>
      </c>
      <c r="G8" s="3" t="inlineStr">
        <is>
          <t>RSSI</t>
        </is>
      </c>
      <c r="H8" s="3" t="inlineStr">
        <is>
          <t>M05, mesure 5.22</t>
        </is>
      </c>
    </row>
    <row r="9">
      <c r="A9" s="3" t="inlineStr">
        <is>
          <t>I08</t>
        </is>
      </c>
      <c r="B9" s="3" t="inlineStr">
        <is>
          <t>Tests de restauration des sauvegardes réussis</t>
        </is>
      </c>
      <c r="C9" s="3" t="inlineStr">
        <is>
          <t>tests réussis / tests prévus</t>
        </is>
      </c>
      <c r="D9" s="3" t="inlineStr">
        <is>
          <t>Aucun test</t>
        </is>
      </c>
      <c r="E9" s="3" t="inlineStr">
        <is>
          <t>100 %, deux tests par an</t>
        </is>
      </c>
      <c r="F9" s="3" t="inlineStr">
        <is>
          <t>Semestrielle</t>
        </is>
      </c>
      <c r="G9" s="3" t="inlineStr">
        <is>
          <t>DSI</t>
        </is>
      </c>
      <c r="H9" s="3" t="inlineStr">
        <is>
          <t>N06, mesure 8.13</t>
        </is>
      </c>
    </row>
    <row r="10">
      <c r="A10" s="3" t="inlineStr">
        <is>
          <t>I09</t>
        </is>
      </c>
      <c r="B10" s="3" t="inlineStr">
        <is>
          <t>Comptes privilégiés nominatifs et inventoriés</t>
        </is>
      </c>
      <c r="C10" s="3" t="inlineStr">
        <is>
          <t>comptes nominatifs / comptes privilégiés</t>
        </is>
      </c>
      <c r="D10" s="3" t="inlineStr">
        <is>
          <t>Non mesuré</t>
        </is>
      </c>
      <c r="E10" s="3" t="inlineStr">
        <is>
          <t>100 %</t>
        </is>
      </c>
      <c r="F10" s="3" t="inlineStr">
        <is>
          <t>Trimestrielle</t>
        </is>
      </c>
      <c r="G10" s="3" t="inlineStr">
        <is>
          <t>DSI</t>
        </is>
      </c>
      <c r="H10" s="3" t="inlineStr">
        <is>
          <t>N04, N11, règles 5 et 8</t>
        </is>
      </c>
    </row>
    <row r="11">
      <c r="A11" s="3" t="inlineStr">
        <is>
          <t>I10</t>
        </is>
      </c>
      <c r="B11" s="3" t="inlineStr">
        <is>
          <t>Incidents de sécurité qualifiés en moins de 24 heures</t>
        </is>
      </c>
      <c r="C11" s="3" t="inlineStr">
        <is>
          <t>incidents qualifiés en 24 h / incidents détectés</t>
        </is>
      </c>
      <c r="D11" s="3" t="inlineStr">
        <is>
          <t>Non mesuré</t>
        </is>
      </c>
      <c r="E11" s="3" t="inlineStr">
        <is>
          <t>90 % ou plus</t>
        </is>
      </c>
      <c r="F11" s="3" t="inlineStr">
        <is>
          <t>Trimestrielle</t>
        </is>
      </c>
      <c r="G11" s="3" t="inlineStr">
        <is>
          <t>RSSI</t>
        </is>
      </c>
      <c r="H11" s="3" t="inlineStr">
        <is>
          <t>M11, N08</t>
        </is>
      </c>
    </row>
    <row r="12">
      <c r="A12" s="3" t="inlineStr">
        <is>
          <t>I11</t>
        </is>
      </c>
      <c r="B12" s="3" t="inlineStr">
        <is>
          <t>Comités de pilotage tenus aux échéances prévues</t>
        </is>
      </c>
      <c r="C12" s="3" t="inlineStr">
        <is>
          <t>comités tenus / comités prévus</t>
        </is>
      </c>
      <c r="D12" s="3" t="inlineStr">
        <is>
          <t>Aucun comité</t>
        </is>
      </c>
      <c r="E12" s="3" t="inlineStr">
        <is>
          <t>100 %</t>
        </is>
      </c>
      <c r="F12" s="3" t="inlineStr">
        <is>
          <t>Semestrielle</t>
        </is>
      </c>
      <c r="G12" s="3" t="inlineStr">
        <is>
          <t>Direction générale</t>
        </is>
      </c>
      <c r="H12" s="3" t="inlineStr">
        <is>
          <t>Gouvernance (guide p. 81)</t>
        </is>
      </c>
    </row>
    <row r="13">
      <c r="A13" s="3" t="inlineStr">
        <is>
          <t>I12</t>
        </is>
      </c>
      <c r="B13" s="3" t="inlineStr">
        <is>
          <t>Non-conformités d'audit interne closes dans les délais</t>
        </is>
      </c>
      <c r="C13" s="3" t="inlineStr">
        <is>
          <t>non-conformités closes à l'échéance / non-conformités ouvertes</t>
        </is>
      </c>
      <c r="D13" s="3" t="inlineStr">
        <is>
          <t>Sans objet</t>
        </is>
      </c>
      <c r="E13" s="3" t="inlineStr">
        <is>
          <t>90 % ou plus</t>
        </is>
      </c>
      <c r="F13" s="3" t="inlineStr">
        <is>
          <t>Annuelle</t>
        </is>
      </c>
      <c r="G13" s="3" t="inlineStr">
        <is>
          <t>RSSI</t>
        </is>
      </c>
      <c r="H13" s="3" t="inlineStr">
        <is>
          <t>Clauses 9.2 et 10</t>
        </is>
      </c>
    </row>
    <row r="14">
      <c r="A14" s="3" t="inlineStr">
        <is>
          <t>I13</t>
        </is>
      </c>
      <c r="B14" s="3" t="inlineStr">
        <is>
          <t>Budget consommé par rapport au budget prévu du plan</t>
        </is>
      </c>
      <c r="C14" s="3" t="inlineStr">
        <is>
          <t>dépenses / budget prévu</t>
        </is>
      </c>
      <c r="D14" s="3" t="inlineStr">
        <is>
          <t>Sans objet</t>
        </is>
      </c>
      <c r="E14" s="3" t="inlineStr">
        <is>
          <t>écart de 10 % au plus</t>
        </is>
      </c>
      <c r="F14" s="3" t="inlineStr">
        <is>
          <t>Semestrielle</t>
        </is>
      </c>
      <c r="G14" s="3" t="inlineStr">
        <is>
          <t>Direction générale</t>
        </is>
      </c>
      <c r="H14" s="3" t="inlineStr">
        <is>
          <t>Budget consommé (guide p. 81)</t>
        </is>
      </c>
    </row>
  </sheetData>
  <autoFilter ref="A1:H1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2" t="inlineStr">
        <is>
          <t>Réf.</t>
        </is>
      </c>
      <c r="B1" s="2" t="inlineStr">
        <is>
          <t>Score initial</t>
        </is>
      </c>
      <c r="C1" s="2" t="inlineStr">
        <is>
          <t>T0 (aujourd'hui)</t>
        </is>
      </c>
      <c r="D1" s="2" t="inlineStr">
        <is>
          <t>Niveau</t>
        </is>
      </c>
      <c r="E1" s="2" t="inlineStr">
        <is>
          <t>T0+6 mois</t>
        </is>
      </c>
      <c r="F1" s="2" t="inlineStr">
        <is>
          <t>Niveau</t>
        </is>
      </c>
      <c r="G1" s="2" t="inlineStr">
        <is>
          <t>T0+12 mois</t>
        </is>
      </c>
      <c r="H1" s="2" t="inlineStr">
        <is>
          <t>Niveau</t>
        </is>
      </c>
      <c r="I1" s="2" t="inlineStr">
        <is>
          <t>T0+18 mois</t>
        </is>
      </c>
      <c r="J1" s="2" t="inlineStr">
        <is>
          <t>Niveau</t>
        </is>
      </c>
      <c r="K1" s="2" t="inlineStr">
        <is>
          <t>Score cible</t>
        </is>
      </c>
      <c r="L1" s="2" t="inlineStr">
        <is>
          <t>Niveau cible</t>
        </is>
      </c>
    </row>
    <row r="2">
      <c r="A2" t="inlineStr">
        <is>
          <t>R1</t>
        </is>
      </c>
      <c r="B2" t="n">
        <v>9</v>
      </c>
      <c r="C2" t="n">
        <v>8.699999999999999</v>
      </c>
      <c r="D2">
        <f>IF(C2&gt;=8,"Élevé",IF(C2&gt;=4,"Moyen","Faible"))</f>
        <v/>
      </c>
      <c r="E2" t="n">
        <v>7.2</v>
      </c>
      <c r="F2">
        <f>IF(E2&gt;=8,"Élevé",IF(E2&gt;=4,"Moyen","Faible"))</f>
        <v/>
      </c>
      <c r="G2" t="n">
        <v>6</v>
      </c>
      <c r="H2">
        <f>IF(G2&gt;=8,"Élevé",IF(G2&gt;=4,"Moyen","Faible"))</f>
        <v/>
      </c>
      <c r="I2" t="n">
        <v>6</v>
      </c>
      <c r="J2">
        <f>IF(I2&gt;=8,"Élevé",IF(I2&gt;=4,"Moyen","Faible"))</f>
        <v/>
      </c>
      <c r="K2" t="n">
        <v>6</v>
      </c>
      <c r="L2">
        <f>IF(K2&gt;=8,"Élevé",IF(K2&gt;=4,"Moyen","Faible"))</f>
        <v/>
      </c>
    </row>
    <row r="3">
      <c r="A3" t="inlineStr">
        <is>
          <t>R2</t>
        </is>
      </c>
      <c r="B3" t="n">
        <v>6</v>
      </c>
      <c r="C3" t="n">
        <v>5.5</v>
      </c>
      <c r="D3">
        <f>IF(C3&gt;=8,"Élevé",IF(C3&gt;=4,"Moyen","Faible"))</f>
        <v/>
      </c>
      <c r="E3" t="n">
        <v>4</v>
      </c>
      <c r="F3">
        <f>IF(E3&gt;=8,"Élevé",IF(E3&gt;=4,"Moyen","Faible"))</f>
        <v/>
      </c>
      <c r="G3" t="n">
        <v>3.5</v>
      </c>
      <c r="H3">
        <f>IF(G3&gt;=8,"Élevé",IF(G3&gt;=4,"Moyen","Faible"))</f>
        <v/>
      </c>
      <c r="I3" t="n">
        <v>3</v>
      </c>
      <c r="J3">
        <f>IF(I3&gt;=8,"Élevé",IF(I3&gt;=4,"Moyen","Faible"))</f>
        <v/>
      </c>
      <c r="K3" t="n">
        <v>3</v>
      </c>
      <c r="L3">
        <f>IF(K3&gt;=8,"Élevé",IF(K3&gt;=4,"Moyen","Faible"))</f>
        <v/>
      </c>
    </row>
    <row r="4">
      <c r="A4" t="inlineStr">
        <is>
          <t>R3</t>
        </is>
      </c>
      <c r="B4" t="n">
        <v>12</v>
      </c>
      <c r="C4" t="n">
        <v>12</v>
      </c>
      <c r="D4">
        <f>IF(C4&gt;=8,"Élevé",IF(C4&gt;=4,"Moyen","Faible"))</f>
        <v/>
      </c>
      <c r="E4" t="n">
        <v>10</v>
      </c>
      <c r="F4">
        <f>IF(E4&gt;=8,"Élevé",IF(E4&gt;=4,"Moyen","Faible"))</f>
        <v/>
      </c>
      <c r="G4" t="n">
        <v>9.300000000000001</v>
      </c>
      <c r="H4">
        <f>IF(G4&gt;=8,"Élevé",IF(G4&gt;=4,"Moyen","Faible"))</f>
        <v/>
      </c>
      <c r="I4" t="n">
        <v>9</v>
      </c>
      <c r="J4">
        <f>IF(I4&gt;=8,"Élevé",IF(I4&gt;=4,"Moyen","Faible"))</f>
        <v/>
      </c>
      <c r="K4" t="n">
        <v>9</v>
      </c>
      <c r="L4">
        <f>IF(K4&gt;=8,"Élevé",IF(K4&gt;=4,"Moyen","Faible"))</f>
        <v/>
      </c>
    </row>
    <row r="5">
      <c r="A5" t="inlineStr">
        <is>
          <t>R4</t>
        </is>
      </c>
      <c r="B5" t="n">
        <v>8</v>
      </c>
      <c r="C5" t="n">
        <v>8</v>
      </c>
      <c r="D5">
        <f>IF(C5&gt;=8,"Élevé",IF(C5&gt;=4,"Moyen","Faible"))</f>
        <v/>
      </c>
      <c r="E5" t="n">
        <v>5.6</v>
      </c>
      <c r="F5">
        <f>IF(E5&gt;=8,"Élevé",IF(E5&gt;=4,"Moyen","Faible"))</f>
        <v/>
      </c>
      <c r="G5" t="n">
        <v>4.4</v>
      </c>
      <c r="H5">
        <f>IF(G5&gt;=8,"Élevé",IF(G5&gt;=4,"Moyen","Faible"))</f>
        <v/>
      </c>
      <c r="I5" t="n">
        <v>4</v>
      </c>
      <c r="J5">
        <f>IF(I5&gt;=8,"Élevé",IF(I5&gt;=4,"Moyen","Faible"))</f>
        <v/>
      </c>
      <c r="K5" t="n">
        <v>4</v>
      </c>
      <c r="L5">
        <f>IF(K5&gt;=8,"Élevé",IF(K5&gt;=4,"Moyen","Faible"))</f>
        <v/>
      </c>
    </row>
    <row r="6">
      <c r="A6" t="inlineStr">
        <is>
          <t>R5</t>
        </is>
      </c>
      <c r="B6" t="n">
        <v>4</v>
      </c>
      <c r="C6" t="n">
        <v>4</v>
      </c>
      <c r="D6">
        <f>IF(C6&gt;=8,"Élevé",IF(C6&gt;=4,"Moyen","Faible"))</f>
        <v/>
      </c>
      <c r="E6" t="n">
        <v>3.4</v>
      </c>
      <c r="F6">
        <f>IF(E6&gt;=8,"Élevé",IF(E6&gt;=4,"Moyen","Faible"))</f>
        <v/>
      </c>
      <c r="G6" t="n">
        <v>3</v>
      </c>
      <c r="H6">
        <f>IF(G6&gt;=8,"Élevé",IF(G6&gt;=4,"Moyen","Faible"))</f>
        <v/>
      </c>
      <c r="I6" t="n">
        <v>3</v>
      </c>
      <c r="J6">
        <f>IF(I6&gt;=8,"Élevé",IF(I6&gt;=4,"Moyen","Faible"))</f>
        <v/>
      </c>
      <c r="K6" t="n">
        <v>3</v>
      </c>
      <c r="L6">
        <f>IF(K6&gt;=8,"Élevé",IF(K6&gt;=4,"Moyen","Faible"))</f>
        <v/>
      </c>
    </row>
    <row r="7">
      <c r="A7" t="inlineStr">
        <is>
          <t>R6</t>
        </is>
      </c>
      <c r="B7" t="n">
        <v>16</v>
      </c>
      <c r="C7" t="n">
        <v>16</v>
      </c>
      <c r="D7">
        <f>IF(C7&gt;=8,"Élevé",IF(C7&gt;=4,"Moyen","Faible"))</f>
        <v/>
      </c>
      <c r="E7" t="n">
        <v>9.9</v>
      </c>
      <c r="F7">
        <f>IF(E7&gt;=8,"Élevé",IF(E7&gt;=4,"Moyen","Faible"))</f>
        <v/>
      </c>
      <c r="G7" t="n">
        <v>6.6</v>
      </c>
      <c r="H7">
        <f>IF(G7&gt;=8,"Élevé",IF(G7&gt;=4,"Moyen","Faible"))</f>
        <v/>
      </c>
      <c r="I7" t="n">
        <v>6</v>
      </c>
      <c r="J7">
        <f>IF(I7&gt;=8,"Élevé",IF(I7&gt;=4,"Moyen","Faible"))</f>
        <v/>
      </c>
      <c r="K7" t="n">
        <v>6</v>
      </c>
      <c r="L7">
        <f>IF(K7&gt;=8,"Élevé",IF(K7&gt;=4,"Moyen","Faible"))</f>
        <v/>
      </c>
    </row>
    <row r="8">
      <c r="A8" t="inlineStr">
        <is>
          <t>R7</t>
        </is>
      </c>
      <c r="B8" t="n">
        <v>12</v>
      </c>
      <c r="C8" t="n">
        <v>12</v>
      </c>
      <c r="D8">
        <f>IF(C8&gt;=8,"Élevé",IF(C8&gt;=4,"Moyen","Faible"))</f>
        <v/>
      </c>
      <c r="E8" t="n">
        <v>8.4</v>
      </c>
      <c r="F8">
        <f>IF(E8&gt;=8,"Élevé",IF(E8&gt;=4,"Moyen","Faible"))</f>
        <v/>
      </c>
      <c r="G8" t="n">
        <v>6</v>
      </c>
      <c r="H8">
        <f>IF(G8&gt;=8,"Élevé",IF(G8&gt;=4,"Moyen","Faible"))</f>
        <v/>
      </c>
      <c r="I8" t="n">
        <v>6</v>
      </c>
      <c r="J8">
        <f>IF(I8&gt;=8,"Élevé",IF(I8&gt;=4,"Moyen","Faible"))</f>
        <v/>
      </c>
      <c r="K8" t="n">
        <v>6</v>
      </c>
      <c r="L8">
        <f>IF(K8&gt;=8,"Élevé",IF(K8&gt;=4,"Moyen","Faible"))</f>
        <v/>
      </c>
    </row>
    <row r="9">
      <c r="A9" s="4" t="inlineStr">
        <is>
          <t>Moyenne</t>
        </is>
      </c>
      <c r="B9" s="4">
        <f>AVERAGE(B2:B8)</f>
        <v/>
      </c>
      <c r="C9" s="4">
        <f>AVERAGE(C2:C8)</f>
        <v/>
      </c>
      <c r="D9" s="4" t="inlineStr"/>
      <c r="E9" s="4">
        <f>AVERAGE(E2:E8)</f>
        <v/>
      </c>
      <c r="F9" s="4" t="inlineStr"/>
      <c r="G9" s="4">
        <f>AVERAGE(G2:G8)</f>
        <v/>
      </c>
      <c r="H9" s="4" t="inlineStr"/>
      <c r="I9" s="4">
        <f>AVERAGE(I2:I8)</f>
        <v/>
      </c>
      <c r="J9" s="4" t="inlineStr"/>
      <c r="K9" s="4">
        <f>AVERAGE(K2:K8)</f>
        <v/>
      </c>
      <c r="L9" s="4" t="inlineStr"/>
    </row>
    <row r="10">
      <c r="A10" s="4" t="inlineStr">
        <is>
          <t>Risques au niveau Élevé</t>
        </is>
      </c>
      <c r="B10" s="4">
        <f>COUNTIF(D2:D8,"Élevé")</f>
        <v/>
      </c>
      <c r="C10" s="4" t="inlineStr"/>
      <c r="D10" s="4" t="inlineStr"/>
      <c r="E10" s="4">
        <f>COUNTIF(F2:F8,"Élevé")</f>
        <v/>
      </c>
      <c r="F10" s="4" t="inlineStr"/>
      <c r="G10" s="4">
        <f>COUNTIF(H2:H8,"Élevé")</f>
        <v/>
      </c>
      <c r="H10" s="4" t="inlineStr"/>
      <c r="I10" s="4">
        <f>COUNTIF(J2:J8,"Élevé")</f>
        <v/>
      </c>
      <c r="J10" s="4" t="inlineStr"/>
      <c r="K10" s="4">
        <f>COUNTIF(L2:L8,"Élevé")</f>
        <v/>
      </c>
      <c r="L10" s="4" t="inlineStr"/>
    </row>
    <row r="12">
      <c r="A12" s="5" t="inlineStr">
        <is>
          <t>Enveloppe budgétaire estimée (mesures restant à réaliser : 24 sur 26)</t>
        </is>
      </c>
    </row>
    <row r="13">
      <c r="A13" s="6" t="inlineStr">
        <is>
          <t>Priorité</t>
        </is>
      </c>
      <c r="B13" s="6" t="inlineStr">
        <is>
          <t>Mesures</t>
        </is>
      </c>
      <c r="C13" s="6" t="inlineStr">
        <is>
          <t>Budget</t>
        </is>
      </c>
    </row>
    <row r="14">
      <c r="A14" t="inlineStr">
        <is>
          <t>P1</t>
        </is>
      </c>
      <c r="B14" t="n">
        <v>14</v>
      </c>
      <c r="C14" t="inlineStr">
        <is>
          <t>230 à 1030 k€</t>
        </is>
      </c>
    </row>
    <row r="15">
      <c r="A15" t="inlineStr">
        <is>
          <t>P2</t>
        </is>
      </c>
      <c r="B15" t="n">
        <v>8</v>
      </c>
      <c r="C15" t="inlineStr">
        <is>
          <t>150 à 660 k€</t>
        </is>
      </c>
    </row>
    <row r="16">
      <c r="A16" t="inlineStr">
        <is>
          <t>P3</t>
        </is>
      </c>
      <c r="B16" t="n">
        <v>2</v>
      </c>
      <c r="C16" t="inlineStr">
        <is>
          <t>0 à 20 k€</t>
        </is>
      </c>
    </row>
    <row r="17">
      <c r="A17" s="7" t="inlineStr">
        <is>
          <t>Total : entre 380 et 1710 k€, et 305 jours-hommes chiffrés</t>
        </is>
      </c>
    </row>
  </sheetData>
  <autoFilter ref="A1:L8"/>
  <conditionalFormatting sqref="D2:D8">
    <cfRule type="cellIs" priority="1" operator="equal" dxfId="2">
      <formula>"Élevé"</formula>
    </cfRule>
    <cfRule type="cellIs" priority="2" operator="equal" dxfId="1">
      <formula>"Moyen"</formula>
    </cfRule>
    <cfRule type="cellIs" priority="3" operator="equal" dxfId="0">
      <formula>"Faible"</formula>
    </cfRule>
  </conditionalFormatting>
  <conditionalFormatting sqref="F2:F8">
    <cfRule type="cellIs" priority="4" operator="equal" dxfId="2">
      <formula>"Élevé"</formula>
    </cfRule>
    <cfRule type="cellIs" priority="5" operator="equal" dxfId="1">
      <formula>"Moyen"</formula>
    </cfRule>
    <cfRule type="cellIs" priority="6" operator="equal" dxfId="0">
      <formula>"Faible"</formula>
    </cfRule>
  </conditionalFormatting>
  <conditionalFormatting sqref="H2:H8">
    <cfRule type="cellIs" priority="7" operator="equal" dxfId="2">
      <formula>"Élevé"</formula>
    </cfRule>
    <cfRule type="cellIs" priority="8" operator="equal" dxfId="1">
      <formula>"Moyen"</formula>
    </cfRule>
    <cfRule type="cellIs" priority="9" operator="equal" dxfId="0">
      <formula>"Faible"</formula>
    </cfRule>
  </conditionalFormatting>
  <conditionalFormatting sqref="J2:J8">
    <cfRule type="cellIs" priority="10" operator="equal" dxfId="2">
      <formula>"Élevé"</formula>
    </cfRule>
    <cfRule type="cellIs" priority="11" operator="equal" dxfId="1">
      <formula>"Moyen"</formula>
    </cfRule>
    <cfRule type="cellIs" priority="12" operator="equal" dxfId="0">
      <formula>"Faible"</formula>
    </cfRule>
  </conditionalFormatting>
  <conditionalFormatting sqref="L2:L8">
    <cfRule type="cellIs" priority="13" operator="equal" dxfId="2">
      <formula>"Élevé"</formula>
    </cfRule>
    <cfRule type="cellIs" priority="14" operator="equal" dxfId="1">
      <formula>"Moyen"</formula>
    </cfRule>
    <cfRule type="cellIs" priority="15" operator="equal" dxfId="0">
      <formula>"Faible"</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2026-09-21T15:56:48Z</dcterms:created>
  <dcterms:modified xmlns:dcterms="http://purl.org/dc/terms/" xmlns:xsi="http://www.w3.org/2001/XMLSchema-instance" xsi:type="dcterms:W3CDTF">2026-09-23T01:20:04Z</dcterms:modified>
</cp:coreProperties>
</file>