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ocle" sheetId="2" state="visible" r:id="rId2"/>
    <sheet xmlns:r="http://schemas.openxmlformats.org/officeDocument/2006/relationships" name="Événements redoutés" sheetId="3" state="visible" r:id="rId3"/>
    <sheet xmlns:r="http://schemas.openxmlformats.org/officeDocument/2006/relationships" name="Couples SR-OV" sheetId="4" state="visible" r:id="rId4"/>
    <sheet xmlns:r="http://schemas.openxmlformats.org/officeDocument/2006/relationships" name="Parties prenantes" sheetId="5" state="visible" r:id="rId5"/>
    <sheet xmlns:r="http://schemas.openxmlformats.org/officeDocument/2006/relationships" name="Risques" sheetId="6" state="visible" r:id="rId6"/>
    <sheet xmlns:r="http://schemas.openxmlformats.org/officeDocument/2006/relationships" name="Plan de traitement" sheetId="7" state="visible" r:id="rId7"/>
    <sheet xmlns:r="http://schemas.openxmlformats.org/officeDocument/2006/relationships" name="Déclaration d'applicabilité" sheetId="8" state="visible" r:id="rId8"/>
    <sheet xmlns:r="http://schemas.openxmlformats.org/officeDocument/2006/relationships" name="Indicateurs" sheetId="9" state="visible" r:id="rId9"/>
    <sheet xmlns:r="http://schemas.openxmlformats.org/officeDocument/2006/relationships" name="Trajectoire" sheetId="10" state="visible" r:id="rId10"/>
  </sheets>
  <definedNames>
    <definedName name="_xlnm._FilterDatabase" localSheetId="1" hidden="1">'Socle'!$A$1:$G$43</definedName>
    <definedName name="_xlnm._FilterDatabase" localSheetId="2" hidden="1">'Événements redoutés'!$A$1:$D$8</definedName>
    <definedName name="_xlnm._FilterDatabase" localSheetId="3" hidden="1">'Couples SR-OV'!$A$1:$F$6</definedName>
    <definedName name="_xlnm._FilterDatabase" localSheetId="4" hidden="1">'Parties prenantes'!$A$1:$L$10</definedName>
    <definedName name="_xlnm._FilterDatabase" localSheetId="5" hidden="1">'Risques'!$A$1:$M$8</definedName>
    <definedName name="_xlnm._FilterDatabase" localSheetId="6" hidden="1">'Plan de traitement'!$A$1:$J$27</definedName>
    <definedName name="_xlnm._FilterDatabase" localSheetId="7" hidden="1">'Déclaration d''applicabilité'!$A$1:$I$94</definedName>
    <definedName name="_xlnm._FilterDatabase" localSheetId="8" hidden="1">'Indicateurs'!$A$1:$F$11</definedName>
    <definedName name="_xlnm._FilterDatabase" localSheetId="9" hidden="1">'Trajectoire'!$A$1:$L$8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SMSI ISO/IEC 27001 et analyse de risques EBIOS RM : CelerPay, établissement de paiement fictif</t>
        </is>
      </c>
    </row>
    <row r="2">
      <c r="A2" t="inlineStr">
        <is>
          <t>Classeur écrit pour ce cas. Les scores et niveaux des feuilles Risques, Parties prenantes et Trajectoire sont des formules.</t>
        </is>
      </c>
    </row>
    <row r="3">
      <c r="A3" t="inlineStr">
        <is>
          <t>Étude entièrement fictive et originale, sans lien avec une entreprise réelle. Aucune donnée, aucune page de référence externe : c'est un exercice personnel construit de bout en bout, pas l'extension d'un cas publié.</t>
        </is>
      </c>
    </row>
    <row r="4">
      <c r="A4" t="inlineStr">
        <is>
          <t>Projet non affilié à aucune entreprise, régulateur ou établissement réel. Entreprise fictive : aucun lien avec une organisation réelle.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0" customWidth="1" min="4" max="4"/>
    <col width="60" customWidth="1" min="5" max="5"/>
    <col width="10" customWidth="1" min="6" max="6"/>
    <col width="10" customWidth="1" min="7" max="7"/>
  </cols>
  <sheetData>
    <row r="1">
      <c r="A1" s="2" t="inlineStr">
        <is>
          <t>Règle</t>
        </is>
      </c>
      <c r="B1" s="2" t="inlineStr">
        <is>
          <t>Section</t>
        </is>
      </c>
      <c r="C1" s="2" t="inlineStr">
        <is>
          <t>Intitulé</t>
        </is>
      </c>
      <c r="D1" s="2" t="inlineStr">
        <is>
          <t>État</t>
        </is>
      </c>
      <c r="E1" s="2" t="inlineStr">
        <is>
          <t>Écart</t>
        </is>
      </c>
      <c r="F1" s="2" t="inlineStr">
        <is>
          <t>Mesures</t>
        </is>
      </c>
      <c r="G1" s="2" t="inlineStr">
        <is>
          <t>Annexe A</t>
        </is>
      </c>
    </row>
    <row r="2">
      <c r="A2" s="3" t="n">
        <v>1</v>
      </c>
      <c r="B2" s="3" t="inlineStr">
        <is>
          <t>Sensibiliser et former</t>
        </is>
      </c>
      <c r="C2" s="3" t="inlineStr">
        <is>
          <t>Former les équipes opérationnelles à la sécurité des systèmes d'information</t>
        </is>
      </c>
      <c r="D2" s="3" t="inlineStr">
        <is>
          <t>rouge</t>
        </is>
      </c>
      <c r="E2" s="3" t="inlineStr">
        <is>
          <t>Aucune formation à la sécurité pour la DSI et le centre technique</t>
        </is>
      </c>
      <c r="F2" s="3" t="inlineStr">
        <is>
          <t>M01</t>
        </is>
      </c>
      <c r="G2" s="3" t="inlineStr">
        <is>
          <t>6.3</t>
        </is>
      </c>
    </row>
    <row r="3">
      <c r="A3" s="3" t="n">
        <v>2</v>
      </c>
      <c r="B3" s="3" t="inlineStr">
        <is>
          <t>Sensibiliser et former</t>
        </is>
      </c>
      <c r="C3" s="3" t="inlineStr">
        <is>
          <t>Sensibiliser les utilisateurs aux bonnes pratiques élémentaires de sécurité informatique</t>
        </is>
      </c>
      <c r="D3" s="3" t="inlineStr">
        <is>
          <t>orange</t>
        </is>
      </c>
      <c r="E3" s="3" t="inlineStr">
        <is>
          <t>Sensibilisation faite à la prise de poste seulement, ni régulière ni centrée sur l'hameçonnage</t>
        </is>
      </c>
      <c r="F3" s="3" t="inlineStr">
        <is>
          <t>M01</t>
        </is>
      </c>
      <c r="G3" s="3" t="inlineStr">
        <is>
          <t>6.3, 5.10</t>
        </is>
      </c>
    </row>
    <row r="4">
      <c r="A4" s="3" t="n">
        <v>3</v>
      </c>
      <c r="B4" s="3" t="inlineStr">
        <is>
          <t>Sensibiliser et former</t>
        </is>
      </c>
      <c r="C4" s="3" t="inlineStr">
        <is>
          <t>Maîtriser les risques de l'infogérance</t>
        </is>
      </c>
      <c r="D4" s="3" t="inlineStr">
        <is>
          <t>rouge</t>
        </is>
      </c>
      <c r="E4" s="3" t="inlineStr">
        <is>
          <t>Le centre technique de Casablanca a des droits d'accès élevés et une sécurité en cours de montée en maturité ; les contrats n'imposent pas de niveau de sécurité précis</t>
        </is>
      </c>
      <c r="F4" s="3" t="inlineStr">
        <is>
          <t>M03, M04, M05, M13, N05</t>
        </is>
      </c>
      <c r="G4" s="3" t="inlineStr">
        <is>
          <t>5.19, 5.20, 5.21, 5.22, 5.23</t>
        </is>
      </c>
    </row>
    <row r="5">
      <c r="A5" s="3" t="n">
        <v>4</v>
      </c>
      <c r="B5" s="3" t="inlineStr">
        <is>
          <t>Connaître le SI</t>
        </is>
      </c>
      <c r="C5" s="3" t="inlineStr">
        <is>
          <t>Identifier les informations et serveurs les plus sensibles et maintenir un schéma du réseau</t>
        </is>
      </c>
      <c r="D5" s="3" t="inlineStr">
        <is>
          <t>orange</t>
        </is>
      </c>
      <c r="E5" s="3" t="inlineStr">
        <is>
          <t>Les valeurs métier et leurs supports sont identifiés ; pas de schéma réseau à jour</t>
        </is>
      </c>
      <c r="F5" s="3" t="inlineStr">
        <is>
          <t>M06, N11</t>
        </is>
      </c>
      <c r="G5" s="3" t="inlineStr">
        <is>
          <t>5.9, 5.12</t>
        </is>
      </c>
    </row>
    <row r="6">
      <c r="A6" s="3" t="n">
        <v>5</v>
      </c>
      <c r="B6" s="3" t="inlineStr">
        <is>
          <t>Connaître le SI</t>
        </is>
      </c>
      <c r="C6" s="3" t="inlineStr">
        <is>
          <t>Disposer d'un inventaire exhaustif des comptes privilégiés et le maintenir à jour</t>
        </is>
      </c>
      <c r="D6" s="3" t="inlineStr">
        <is>
          <t>rouge</t>
        </is>
      </c>
      <c r="E6" s="3" t="inlineStr">
        <is>
          <t>Pas d'inventaire des comptes privilégiés, dont ceux du centre technique</t>
        </is>
      </c>
      <c r="F6" s="3" t="inlineStr">
        <is>
          <t>N04, N05, N11</t>
        </is>
      </c>
      <c r="G6" s="3" t="inlineStr">
        <is>
          <t>8.2, 5.16, 5.18</t>
        </is>
      </c>
    </row>
    <row r="7">
      <c r="A7" s="3" t="n">
        <v>6</v>
      </c>
      <c r="B7" s="3" t="inlineStr">
        <is>
          <t>Connaître le SI</t>
        </is>
      </c>
      <c r="C7" s="3" t="inlineStr">
        <is>
          <t>Organiser les procédures d'arrivée, de départ et de changement de fonction</t>
        </is>
      </c>
      <c r="D7" s="3" t="inlineStr">
        <is>
          <t>orange</t>
        </is>
      </c>
      <c r="E7" s="3" t="inlineStr">
        <is>
          <t>Procédure RH existante, sans lien systématique avec la suppression des accès informatiques</t>
        </is>
      </c>
      <c r="F7" s="3" t="inlineStr">
        <is>
          <t>N05, N11</t>
        </is>
      </c>
      <c r="G7" s="3" t="inlineStr">
        <is>
          <t>5.11, 5.18, 6.5</t>
        </is>
      </c>
    </row>
    <row r="8">
      <c r="A8" s="3" t="n">
        <v>7</v>
      </c>
      <c r="B8" s="3" t="inlineStr">
        <is>
          <t>Connaître le SI</t>
        </is>
      </c>
      <c r="C8" s="3" t="inlineStr">
        <is>
          <t>Autoriser la connexion au réseau aux seuls équipements maîtrisés</t>
        </is>
      </c>
      <c r="D8" s="3" t="inlineStr">
        <is>
          <t>rouge</t>
        </is>
      </c>
      <c r="E8" s="3" t="inlineStr">
        <is>
          <t>Aucun contrôle des équipements qui se connectent au réseau</t>
        </is>
      </c>
      <c r="F8" s="3" t="inlineStr">
        <is>
          <t>M13, N01, N07, N11</t>
        </is>
      </c>
      <c r="G8" s="3" t="inlineStr">
        <is>
          <t>5.9, 8.1, 8.20</t>
        </is>
      </c>
    </row>
    <row r="9">
      <c r="A9" s="3" t="n">
        <v>8</v>
      </c>
      <c r="B9" s="3" t="inlineStr">
        <is>
          <t>Authentifier et contrôler les accès</t>
        </is>
      </c>
      <c r="C9" s="3" t="inlineStr">
        <is>
          <t>Identifier nommément chaque personne accédant au système et distinguer les rôles</t>
        </is>
      </c>
      <c r="D9" s="3" t="inlineStr">
        <is>
          <t>orange</t>
        </is>
      </c>
      <c r="E9" s="3" t="inlineStr">
        <is>
          <t>Un compte administrateur non nominatif existe pour le cœur bancaire</t>
        </is>
      </c>
      <c r="F9" s="3" t="inlineStr">
        <is>
          <t>N04, N05</t>
        </is>
      </c>
      <c r="G9" s="3" t="inlineStr">
        <is>
          <t>5.15, 5.16</t>
        </is>
      </c>
    </row>
    <row r="10">
      <c r="A10" s="3" t="n">
        <v>9</v>
      </c>
      <c r="B10" s="3" t="inlineStr">
        <is>
          <t>Authentifier et contrôler les accès</t>
        </is>
      </c>
      <c r="C10" s="3" t="inlineStr">
        <is>
          <t>Attribuer les bons droits sur les ressources sensibles du système d'information</t>
        </is>
      </c>
      <c r="D10" s="3" t="inlineStr">
        <is>
          <t>orange</t>
        </is>
      </c>
      <c r="E10" s="3" t="inlineStr">
        <is>
          <t>Un salarié technique récupère facilement les données clients depuis son poste, sans supervision</t>
        </is>
      </c>
      <c r="F10" s="3" t="inlineStr">
        <is>
          <t>M06, M07, N05, N10, N11</t>
        </is>
      </c>
      <c r="G10" s="3" t="inlineStr">
        <is>
          <t>5.15, 5.18, 8.3</t>
        </is>
      </c>
    </row>
    <row r="11">
      <c r="A11" s="3" t="n">
        <v>10</v>
      </c>
      <c r="B11" s="3" t="inlineStr">
        <is>
          <t>Authentifier et contrôler les accès</t>
        </is>
      </c>
      <c r="C11" s="3" t="inlineStr">
        <is>
          <t>Définir et vérifier des règles de choix et de dimensionnement des mots de passe</t>
        </is>
      </c>
      <c r="D11" s="3" t="inlineStr">
        <is>
          <t>orange</t>
        </is>
      </c>
      <c r="E11" s="3" t="inlineStr">
        <is>
          <t>Règles inscrites dans la charte informatique, non vérifiées techniquement</t>
        </is>
      </c>
      <c r="F11" s="3" t="inlineStr">
        <is>
          <t>N04</t>
        </is>
      </c>
      <c r="G11" s="3" t="inlineStr">
        <is>
          <t>5.17, 8.5</t>
        </is>
      </c>
    </row>
    <row r="12">
      <c r="A12" s="3" t="n">
        <v>11</v>
      </c>
      <c r="B12" s="3" t="inlineStr">
        <is>
          <t>Authentifier et contrôler les accès</t>
        </is>
      </c>
      <c r="C12" s="3" t="inlineStr">
        <is>
          <t>Protéger les mots de passe stockés sur les systèmes</t>
        </is>
      </c>
      <c r="D12" s="3" t="inlineStr">
        <is>
          <t>rouge</t>
        </is>
      </c>
      <c r="E12" s="3" t="inlineStr">
        <is>
          <t>Mots de passe conservés sans protection particulière sur certains systèmes</t>
        </is>
      </c>
      <c r="F12" s="3" t="inlineStr">
        <is>
          <t>M07, M10, N04, N07, N10</t>
        </is>
      </c>
      <c r="G12" s="3" t="inlineStr">
        <is>
          <t>5.17, 8.24</t>
        </is>
      </c>
    </row>
    <row r="13">
      <c r="A13" s="3" t="n">
        <v>12</v>
      </c>
      <c r="B13" s="3" t="inlineStr">
        <is>
          <t>Authentifier et contrôler les accès</t>
        </is>
      </c>
      <c r="C13" s="3" t="inlineStr">
        <is>
          <t>Changer les éléments d'authentification par défaut</t>
        </is>
      </c>
      <c r="D13" s="3" t="inlineStr">
        <is>
          <t>orange</t>
        </is>
      </c>
      <c r="E13" s="3" t="inlineStr">
        <is>
          <t>Éléments par défaut changés sur le réseau bureautique, pas sur tous les composants de la plateforme</t>
        </is>
      </c>
      <c r="F13" s="3" t="inlineStr">
        <is>
          <t>M09, N04, N07</t>
        </is>
      </c>
      <c r="G13" s="3" t="inlineStr">
        <is>
          <t>5.17, 8.9</t>
        </is>
      </c>
    </row>
    <row r="14">
      <c r="A14" s="3" t="n">
        <v>13</v>
      </c>
      <c r="B14" s="3" t="inlineStr">
        <is>
          <t>Authentifier et contrôler les accès</t>
        </is>
      </c>
      <c r="C14" s="3" t="inlineStr">
        <is>
          <t>Privilégier lorsque c'est possible une authentification forte</t>
        </is>
      </c>
      <c r="D14" s="3" t="inlineStr">
        <is>
          <t>rouge</t>
        </is>
      </c>
      <c r="E14" s="3" t="inlineStr">
        <is>
          <t>Aucune authentification forte, y compris pour l'administration et les accès distants</t>
        </is>
      </c>
      <c r="F14" s="3" t="inlineStr">
        <is>
          <t>N04</t>
        </is>
      </c>
      <c r="G14" s="3" t="inlineStr">
        <is>
          <t>8.5</t>
        </is>
      </c>
    </row>
    <row r="15">
      <c r="A15" s="3" t="n">
        <v>14</v>
      </c>
      <c r="B15" s="3" t="inlineStr">
        <is>
          <t>Sécuriser les postes</t>
        </is>
      </c>
      <c r="C15" s="3" t="inlineStr">
        <is>
          <t>Mettre en place un niveau de sécurité minimal sur l'ensemble du parc informatique</t>
        </is>
      </c>
      <c r="D15" s="3" t="inlineStr">
        <is>
          <t>rouge</t>
        </is>
      </c>
      <c r="E15" s="3" t="inlineStr">
        <is>
          <t>Niveau de sécurité des postes hétérogène ; correctifs appliqués sans rigueur</t>
        </is>
      </c>
      <c r="F15" s="3" t="inlineStr">
        <is>
          <t>M09, M13, N07</t>
        </is>
      </c>
      <c r="G15" s="3" t="inlineStr">
        <is>
          <t>8.1, 8.7, 8.9</t>
        </is>
      </c>
    </row>
    <row r="16">
      <c r="A16" s="3" t="n">
        <v>15</v>
      </c>
      <c r="B16" s="3" t="inlineStr">
        <is>
          <t>Sécuriser les postes</t>
        </is>
      </c>
      <c r="C16" s="3" t="inlineStr">
        <is>
          <t>Se protéger des menaces relatives aux supports amovibles</t>
        </is>
      </c>
      <c r="D16" s="3" t="inlineStr">
        <is>
          <t>rouge</t>
        </is>
      </c>
      <c r="E16" s="3" t="inlineStr">
        <is>
          <t>Les ports USB ne sont soumis à aucune restriction</t>
        </is>
      </c>
      <c r="F16" s="3" t="inlineStr">
        <is>
          <t>N03</t>
        </is>
      </c>
      <c r="G16" s="3" t="inlineStr">
        <is>
          <t>7.10</t>
        </is>
      </c>
    </row>
    <row r="17">
      <c r="A17" s="3" t="n">
        <v>16</v>
      </c>
      <c r="B17" s="3" t="inlineStr">
        <is>
          <t>Sécuriser les postes</t>
        </is>
      </c>
      <c r="C17" s="3" t="inlineStr">
        <is>
          <t>Se protéger des menaces relatives à l'utilisation d'Internet</t>
        </is>
      </c>
      <c r="D17" s="3" t="inlineStr">
        <is>
          <t>orange</t>
        </is>
      </c>
      <c r="E17" s="3" t="inlineStr">
        <is>
          <t>Filtrage web basique, sans catégorisation fine</t>
        </is>
      </c>
      <c r="F17" s="3" t="inlineStr">
        <is>
          <t>M09, M13, N07</t>
        </is>
      </c>
      <c r="G17" s="3" t="inlineStr">
        <is>
          <t>8.9, 8.1</t>
        </is>
      </c>
    </row>
    <row r="18">
      <c r="A18" s="3" t="n">
        <v>17</v>
      </c>
      <c r="B18" s="3" t="inlineStr">
        <is>
          <t>Sécuriser les postes</t>
        </is>
      </c>
      <c r="C18" s="3" t="inlineStr">
        <is>
          <t>Chiffrer les données sensibles, en particulier sur le matériel mobile</t>
        </is>
      </c>
      <c r="D18" s="3" t="inlineStr">
        <is>
          <t>rouge</t>
        </is>
      </c>
      <c r="E18" s="3" t="inlineStr">
        <is>
          <t>Aucun chiffrement systématique des postes portables</t>
        </is>
      </c>
      <c r="F18" s="3" t="inlineStr">
        <is>
          <t>M13, N01, N07</t>
        </is>
      </c>
      <c r="G18" s="3" t="inlineStr">
        <is>
          <t>8.1, 8.20</t>
        </is>
      </c>
    </row>
    <row r="19">
      <c r="A19" s="3" t="n">
        <v>18</v>
      </c>
      <c r="B19" s="3" t="inlineStr">
        <is>
          <t>Sécuriser le réseau</t>
        </is>
      </c>
      <c r="C19" s="3" t="inlineStr">
        <is>
          <t>Segmenter le réseau et mettre en place un filtrage</t>
        </is>
      </c>
      <c r="D19" s="3" t="inlineStr">
        <is>
          <t>rouge</t>
        </is>
      </c>
      <c r="E19" s="3" t="inlineStr">
        <is>
          <t>Réseau plat, pas de séparation entre bureautique et plateforme de production</t>
        </is>
      </c>
      <c r="F19" s="3" t="inlineStr">
        <is>
          <t>M06, M07, M10, N07, N10</t>
        </is>
      </c>
      <c r="G19" s="3" t="inlineStr">
        <is>
          <t>5.14, 8.24</t>
        </is>
      </c>
    </row>
    <row r="20">
      <c r="A20" s="3" t="n">
        <v>19</v>
      </c>
      <c r="B20" s="3" t="inlineStr">
        <is>
          <t>Sécuriser le réseau</t>
        </is>
      </c>
      <c r="C20" s="3" t="inlineStr">
        <is>
          <t>Sécuriser l'interconnexion du réseau avec Internet et les tiers</t>
        </is>
      </c>
      <c r="D20" s="3" t="inlineStr">
        <is>
          <t>orange</t>
        </is>
      </c>
      <c r="E20" s="3" t="inlineStr">
        <is>
          <t>Interconnexion avec la banque partenaire et le centre technique sans filtrage fin</t>
        </is>
      </c>
      <c r="F20" s="3" t="inlineStr">
        <is>
          <t>M07, M09, N01</t>
        </is>
      </c>
      <c r="G20" s="3" t="inlineStr">
        <is>
          <t>8.22</t>
        </is>
      </c>
    </row>
    <row r="21">
      <c r="A21" s="3" t="n">
        <v>20</v>
      </c>
      <c r="B21" s="3" t="inlineStr">
        <is>
          <t>Sécuriser le réseau</t>
        </is>
      </c>
      <c r="C21" s="3" t="inlineStr">
        <is>
          <t>Mettre en œuvre une passerelle d'accès sécurisé à Internet</t>
        </is>
      </c>
      <c r="D21" s="3" t="inlineStr">
        <is>
          <t>orange</t>
        </is>
      </c>
      <c r="E21" s="3" t="inlineStr">
        <is>
          <t>Passerelle existante, règles peu restrictives</t>
        </is>
      </c>
      <c r="F21" s="3" t="inlineStr">
        <is>
          <t>M07, M09, M10, N01</t>
        </is>
      </c>
      <c r="G21" s="3" t="inlineStr">
        <is>
          <t>8.20, 8.21, 8.22</t>
        </is>
      </c>
    </row>
    <row r="22">
      <c r="A22" s="3" t="n">
        <v>21</v>
      </c>
      <c r="B22" s="3" t="inlineStr">
        <is>
          <t>Sécuriser le réseau</t>
        </is>
      </c>
      <c r="C22" s="3" t="inlineStr">
        <is>
          <t>Sécuriser les accès distants des postes utilisateurs</t>
        </is>
      </c>
      <c r="D22" s="3" t="inlineStr">
        <is>
          <t>rouge</t>
        </is>
      </c>
      <c r="E22" s="3" t="inlineStr">
        <is>
          <t>Accès distant sans authentification forte</t>
        </is>
      </c>
      <c r="F22" s="3" t="inlineStr">
        <is>
          <t>M07, M10, N07, N10</t>
        </is>
      </c>
      <c r="G22" s="3" t="inlineStr">
        <is>
          <t>8.21, 8.24</t>
        </is>
      </c>
    </row>
    <row r="23">
      <c r="A23" s="3" t="n">
        <v>22</v>
      </c>
      <c r="B23" s="3" t="inlineStr">
        <is>
          <t>Sécuriser le réseau</t>
        </is>
      </c>
      <c r="C23" s="3" t="inlineStr">
        <is>
          <t>Contrôler les postes livrés par des tiers</t>
        </is>
      </c>
      <c r="D23" s="3" t="inlineStr">
        <is>
          <t>rouge</t>
        </is>
      </c>
      <c r="E23" s="3" t="inlineStr">
        <is>
          <t>Aucun contrôle des postes du centre technique de Casablanca</t>
        </is>
      </c>
      <c r="F23" s="3" t="inlineStr">
        <is>
          <t>N01, N07</t>
        </is>
      </c>
      <c r="G23" s="3" t="inlineStr">
        <is>
          <t>8.20, 8.23</t>
        </is>
      </c>
    </row>
    <row r="24">
      <c r="A24" s="3" t="n">
        <v>23</v>
      </c>
      <c r="B24" s="3" t="inlineStr">
        <is>
          <t>Sécuriser le réseau</t>
        </is>
      </c>
      <c r="C24" s="3" t="inlineStr">
        <is>
          <t>Sécuriser les réseaux Wi-Fi</t>
        </is>
      </c>
      <c r="D24" s="3" t="inlineStr">
        <is>
          <t>orange</t>
        </is>
      </c>
      <c r="E24" s="3" t="inlineStr">
        <is>
          <t>Wi-Fi invité séparé du réseau interne, sans revue régulière</t>
        </is>
      </c>
      <c r="F24" s="3" t="inlineStr">
        <is>
          <t>M07, M09, N01</t>
        </is>
      </c>
      <c r="G24" s="3" t="inlineStr">
        <is>
          <t>8.22, 8.20</t>
        </is>
      </c>
    </row>
    <row r="25">
      <c r="A25" s="3" t="n">
        <v>24</v>
      </c>
      <c r="B25" s="3" t="inlineStr">
        <is>
          <t>Sécuriser l'administration</t>
        </is>
      </c>
      <c r="C25" s="3" t="inlineStr">
        <is>
          <t>Interdire l'accès à Internet depuis les postes ou serveurs utilisés pour l'administration</t>
        </is>
      </c>
      <c r="D25" s="3" t="inlineStr">
        <is>
          <t>rouge</t>
        </is>
      </c>
      <c r="E25" s="3" t="inlineStr">
        <is>
          <t>Postes d'administration utilisés aussi pour la navigation web et la messagerie</t>
        </is>
      </c>
      <c r="F25" s="3" t="inlineStr">
        <is>
          <t>M06, M10, N07</t>
        </is>
      </c>
      <c r="G25" s="3" t="inlineStr">
        <is>
          <t>5.14, 8.7, 8.23</t>
        </is>
      </c>
    </row>
    <row r="26">
      <c r="A26" s="3" t="n">
        <v>25</v>
      </c>
      <c r="B26" s="3" t="inlineStr">
        <is>
          <t>Sécuriser l'administration</t>
        </is>
      </c>
      <c r="C26" s="3" t="inlineStr">
        <is>
          <t>Utiliser un réseau dédié et cloisonné pour l'administration</t>
        </is>
      </c>
      <c r="D26" s="3" t="inlineStr">
        <is>
          <t>rouge</t>
        </is>
      </c>
      <c r="E26" s="3" t="inlineStr">
        <is>
          <t>Pas de réseau d'administration séparé</t>
        </is>
      </c>
      <c r="F26" s="3" t="inlineStr">
        <is>
          <t>M06, M10, N01</t>
        </is>
      </c>
      <c r="G26" s="3" t="inlineStr">
        <is>
          <t>5.14, 8.21, 8.20</t>
        </is>
      </c>
    </row>
    <row r="27">
      <c r="A27" s="3" t="n">
        <v>26</v>
      </c>
      <c r="B27" s="3" t="inlineStr">
        <is>
          <t>Sécuriser l'administration</t>
        </is>
      </c>
      <c r="C27" s="3" t="inlineStr">
        <is>
          <t>Limiter au strict besoin les droits d'administration</t>
        </is>
      </c>
      <c r="D27" s="3" t="inlineStr">
        <is>
          <t>orange</t>
        </is>
      </c>
      <c r="E27" s="3" t="inlineStr">
        <is>
          <t>Droits élevés accordés plus largement que nécessaire au centre technique</t>
        </is>
      </c>
      <c r="F27" s="3" t="inlineStr">
        <is>
          <t>M08</t>
        </is>
      </c>
      <c r="G27" s="3" t="inlineStr">
        <is>
          <t>7.1, 7.2, 7.3</t>
        </is>
      </c>
    </row>
    <row r="28">
      <c r="A28" s="3" t="n">
        <v>27</v>
      </c>
      <c r="B28" s="3" t="inlineStr">
        <is>
          <t>Gérer le nomadisme</t>
        </is>
      </c>
      <c r="C28" s="3" t="inlineStr">
        <is>
          <t>Sensibiliser les utilisateurs aux risques du nomadisme</t>
        </is>
      </c>
      <c r="D28" s="3" t="inlineStr">
        <is>
          <t>orange</t>
        </is>
      </c>
      <c r="E28" s="3" t="inlineStr">
        <is>
          <t>Charte informatique existante, peu de sensibilisation active</t>
        </is>
      </c>
      <c r="F28" s="3" t="inlineStr">
        <is>
          <t>N04, N05, N07, N11</t>
        </is>
      </c>
      <c r="G28" s="3" t="inlineStr">
        <is>
          <t>8.2, 8.23</t>
        </is>
      </c>
    </row>
    <row r="29">
      <c r="A29" s="3" t="n">
        <v>28</v>
      </c>
      <c r="B29" s="3" t="inlineStr">
        <is>
          <t>Gérer le nomadisme</t>
        </is>
      </c>
      <c r="C29" s="3" t="inlineStr">
        <is>
          <t>Prévoir les mesures de protection d'un poste nomade</t>
        </is>
      </c>
      <c r="D29" s="3" t="inlineStr">
        <is>
          <t>rouge</t>
        </is>
      </c>
      <c r="E29" s="3" t="inlineStr">
        <is>
          <t>Aucune mesure spécifique pour les postes nomades</t>
        </is>
      </c>
      <c r="F29" s="3" t="inlineStr">
        <is>
          <t>M07, M09, N01, N04, N05, N11</t>
        </is>
      </c>
      <c r="G29" s="3" t="inlineStr">
        <is>
          <t>8.22, 8.2</t>
        </is>
      </c>
    </row>
    <row r="30">
      <c r="A30" s="3" t="n">
        <v>29</v>
      </c>
      <c r="B30" s="3" t="inlineStr">
        <is>
          <t>Gérer le nomadisme</t>
        </is>
      </c>
      <c r="C30" s="3" t="inlineStr">
        <is>
          <t>Chiffrer les données sensibles envoyées sur Internet et les supports d'échange</t>
        </is>
      </c>
      <c r="D30" s="3" t="inlineStr">
        <is>
          <t>orange</t>
        </is>
      </c>
      <c r="E30" s="3" t="inlineStr">
        <is>
          <t>Chiffrement partiel, pas systématique</t>
        </is>
      </c>
      <c r="F30" s="3" t="inlineStr">
        <is>
          <t>N04, N05, N07, N11</t>
        </is>
      </c>
      <c r="G30" s="3" t="inlineStr">
        <is>
          <t>8.2, 8.18</t>
        </is>
      </c>
    </row>
    <row r="31">
      <c r="A31" s="3" t="n">
        <v>30</v>
      </c>
      <c r="B31" s="3" t="inlineStr">
        <is>
          <t>Gérer le nomadisme</t>
        </is>
      </c>
      <c r="C31" s="3" t="inlineStr">
        <is>
          <t>Adopter des mesures de sécurité physique pour les terminaux mobiles</t>
        </is>
      </c>
      <c r="D31" s="3" t="inlineStr">
        <is>
          <t>orange</t>
        </is>
      </c>
      <c r="E31" s="3" t="inlineStr">
        <is>
          <t>Verrouillage automatique activé, sans autre mesure</t>
        </is>
      </c>
      <c r="F31" s="3" t="inlineStr">
        <is>
          <t>N03, N07</t>
        </is>
      </c>
      <c r="G31" s="3" t="inlineStr">
        <is>
          <t>7.9, 7.10</t>
        </is>
      </c>
    </row>
    <row r="32">
      <c r="A32" s="3" t="n">
        <v>31</v>
      </c>
      <c r="B32" s="3" t="inlineStr">
        <is>
          <t>Gérer le nomadisme</t>
        </is>
      </c>
      <c r="C32" s="3" t="inlineStr">
        <is>
          <t>Sécuriser les échanges avec l'international</t>
        </is>
      </c>
      <c r="D32" s="3" t="inlineStr">
        <is>
          <t>rouge</t>
        </is>
      </c>
      <c r="E32" s="3" t="inlineStr">
        <is>
          <t>Aucune règle spécifique pour les échanges avec le centre technique de Casablanca</t>
        </is>
      </c>
      <c r="F32" s="3" t="inlineStr">
        <is>
          <t>M07, M10, N07, N10</t>
        </is>
      </c>
      <c r="G32" s="3" t="inlineStr">
        <is>
          <t>8.24, 7.9</t>
        </is>
      </c>
    </row>
    <row r="33">
      <c r="A33" s="3" t="n">
        <v>32</v>
      </c>
      <c r="B33" s="3" t="inlineStr">
        <is>
          <t>Maintenir le SI à jour</t>
        </is>
      </c>
      <c r="C33" s="3" t="inlineStr">
        <is>
          <t>Définir une politique de mise à jour des composants du SI</t>
        </is>
      </c>
      <c r="D33" s="3" t="inlineStr">
        <is>
          <t>rouge</t>
        </is>
      </c>
      <c r="E33" s="3" t="inlineStr">
        <is>
          <t>Mises à jour appliquées de façon ponctuelle, sans politique formalisée</t>
        </is>
      </c>
      <c r="F33" s="3" t="inlineStr">
        <is>
          <t>M10, N01</t>
        </is>
      </c>
      <c r="G33" s="3" t="inlineStr">
        <is>
          <t>6.7, 8.20, 8.21</t>
        </is>
      </c>
    </row>
    <row r="34">
      <c r="A34" s="3" t="n">
        <v>33</v>
      </c>
      <c r="B34" s="3" t="inlineStr">
        <is>
          <t>Maintenir le SI à jour</t>
        </is>
      </c>
      <c r="C34" s="3" t="inlineStr">
        <is>
          <t>Anticiper la fin de la maintenance des logiciels et systèmes</t>
        </is>
      </c>
      <c r="D34" s="3" t="inlineStr">
        <is>
          <t>orange</t>
        </is>
      </c>
      <c r="E34" s="3" t="inlineStr">
        <is>
          <t>Suivi partiel des versions en fin de vie</t>
        </is>
      </c>
      <c r="F34" s="3" t="inlineStr">
        <is>
          <t>M13, N07</t>
        </is>
      </c>
      <c r="G34" s="3" t="inlineStr">
        <is>
          <t>8.1, 6.7</t>
        </is>
      </c>
    </row>
    <row r="35">
      <c r="A35" s="3" t="n">
        <v>34</v>
      </c>
      <c r="B35" s="3" t="inlineStr">
        <is>
          <t>Superviser, auditer, réagir</t>
        </is>
      </c>
      <c r="C35" s="3" t="inlineStr">
        <is>
          <t>Activer et configurer les journaux des composants les plus importants</t>
        </is>
      </c>
      <c r="D35" s="3" t="inlineStr">
        <is>
          <t>orange</t>
        </is>
      </c>
      <c r="E35" s="3" t="inlineStr">
        <is>
          <t>Journalisation activée sur la plateforme transactionnelle, pas sur l'ensemble du SI</t>
        </is>
      </c>
      <c r="F35" s="3" t="inlineStr">
        <is>
          <t>M02, M09, M13, N02</t>
        </is>
      </c>
      <c r="G35" s="3" t="inlineStr">
        <is>
          <t>8.8, 8.19</t>
        </is>
      </c>
    </row>
    <row r="36">
      <c r="A36" s="3" t="n">
        <v>35</v>
      </c>
      <c r="B36" s="3" t="inlineStr">
        <is>
          <t>Superviser, auditer, réagir</t>
        </is>
      </c>
      <c r="C36" s="3" t="inlineStr">
        <is>
          <t>Définir une politique de sauvegarde des composants critiques</t>
        </is>
      </c>
      <c r="D36" s="3" t="inlineStr">
        <is>
          <t>rouge</t>
        </is>
      </c>
      <c r="E36" s="3" t="inlineStr">
        <is>
          <t>Politique de sauvegarde en cours de rédaction</t>
        </is>
      </c>
      <c r="F36" s="3" t="inlineStr">
        <is>
          <t>M02, M09, N02</t>
        </is>
      </c>
      <c r="G36" s="3" t="inlineStr">
        <is>
          <t>8.8, 7.13</t>
        </is>
      </c>
    </row>
    <row r="37">
      <c r="A37" s="3" t="n">
        <v>36</v>
      </c>
      <c r="B37" s="3" t="inlineStr">
        <is>
          <t>Superviser, auditer, réagir</t>
        </is>
      </c>
      <c r="C37" s="3" t="inlineStr">
        <is>
          <t>Prévoir des modalités de traitement des incidents de sécurité</t>
        </is>
      </c>
      <c r="D37" s="3" t="inlineStr">
        <is>
          <t>rouge</t>
        </is>
      </c>
      <c r="E37" s="3" t="inlineStr">
        <is>
          <t>Aucune procédure formalisée de gestion des incidents</t>
        </is>
      </c>
      <c r="F37" s="3" t="inlineStr">
        <is>
          <t>M11, N10, N13</t>
        </is>
      </c>
      <c r="G37" s="3" t="inlineStr">
        <is>
          <t>8.15, 8.16, 8.17</t>
        </is>
      </c>
    </row>
    <row r="38">
      <c r="A38" s="3" t="n">
        <v>37</v>
      </c>
      <c r="B38" s="3" t="inlineStr">
        <is>
          <t>Superviser, auditer, réagir</t>
        </is>
      </c>
      <c r="C38" s="3" t="inlineStr">
        <is>
          <t>Réaliser des contrôles et audits de sécurité réguliers</t>
        </is>
      </c>
      <c r="D38" s="3" t="inlineStr">
        <is>
          <t>rouge</t>
        </is>
      </c>
      <c r="E38" s="3" t="inlineStr">
        <is>
          <t>Aucun audit de sécurité réalisé à ce jour</t>
        </is>
      </c>
      <c r="F38" s="3" t="inlineStr">
        <is>
          <t>N06</t>
        </is>
      </c>
      <c r="G38" s="3" t="inlineStr">
        <is>
          <t>8.13</t>
        </is>
      </c>
    </row>
    <row r="39">
      <c r="A39" s="3" t="n">
        <v>38</v>
      </c>
      <c r="B39" s="3" t="inlineStr">
        <is>
          <t>Superviser, auditer, réagir</t>
        </is>
      </c>
      <c r="C39" s="3" t="inlineStr">
        <is>
          <t>Désigner un référent en sécurité et le faire connaître</t>
        </is>
      </c>
      <c r="D39" s="3" t="inlineStr">
        <is>
          <t>vert</t>
        </is>
      </c>
      <c r="E39" s="3" t="inlineStr">
        <is>
          <t>Un RSSI existe et est identifié par l'ensemble des équipes</t>
        </is>
      </c>
      <c r="F39" s="3" t="inlineStr">
        <is>
          <t>M02, M05, N09</t>
        </is>
      </c>
      <c r="G39" s="3" t="inlineStr">
        <is>
          <t>5.35, 5.36, 8.34</t>
        </is>
      </c>
    </row>
    <row r="40">
      <c r="A40" s="3" t="n">
        <v>39</v>
      </c>
      <c r="B40" s="3" t="inlineStr">
        <is>
          <t>Superviser, auditer, réagir</t>
        </is>
      </c>
      <c r="C40" s="3" t="inlineStr">
        <is>
          <t>Mettre en place une supervision de sécurité (SOC ou équivalent)</t>
        </is>
      </c>
      <c r="D40" s="3" t="inlineStr">
        <is>
          <t>rouge</t>
        </is>
      </c>
      <c r="E40" s="3" t="inlineStr">
        <is>
          <t>Aucune supervision continue des événements de sécurité</t>
        </is>
      </c>
      <c r="F40" s="3" t="inlineStr">
        <is>
          <t>N09</t>
        </is>
      </c>
      <c r="G40" s="3" t="inlineStr">
        <is>
          <t>5.2</t>
        </is>
      </c>
    </row>
    <row r="41">
      <c r="A41" s="3" t="n">
        <v>40</v>
      </c>
      <c r="B41" s="3" t="inlineStr">
        <is>
          <t>Superviser, auditer, réagir</t>
        </is>
      </c>
      <c r="C41" s="3" t="inlineStr">
        <is>
          <t>Définir une procédure de gestion de crise cyber</t>
        </is>
      </c>
      <c r="D41" s="3" t="inlineStr">
        <is>
          <t>rouge</t>
        </is>
      </c>
      <c r="E41" s="3" t="inlineStr">
        <is>
          <t>Aucun plan de gestion de crise cyber testé</t>
        </is>
      </c>
      <c r="F41" s="3" t="inlineStr">
        <is>
          <t>M04, N08</t>
        </is>
      </c>
      <c r="G41" s="3" t="inlineStr">
        <is>
          <t>5.24, 5.25, 5.26, 5.27, 6.8</t>
        </is>
      </c>
    </row>
    <row r="42">
      <c r="A42" s="3" t="n">
        <v>41</v>
      </c>
      <c r="B42" s="3" t="inlineStr">
        <is>
          <t>Réagir</t>
        </is>
      </c>
      <c r="C42" s="3" t="inlineStr">
        <is>
          <t>Élaborer un plan de continuité et de reprise d'activité</t>
        </is>
      </c>
      <c r="D42" s="3" t="inlineStr">
        <is>
          <t>orange</t>
        </is>
      </c>
      <c r="E42" s="3" t="inlineStr">
        <is>
          <t>Plan de continuité existant côté métier, pas encore décliné côté sécurité SI</t>
        </is>
      </c>
      <c r="F42" s="3" t="inlineStr"/>
      <c r="G42" s="3" t="inlineStr"/>
    </row>
    <row r="43">
      <c r="A43" s="3" t="n">
        <v>42</v>
      </c>
      <c r="B43" s="3" t="inlineStr">
        <is>
          <t>Réagir</t>
        </is>
      </c>
      <c r="C43" s="3" t="inlineStr">
        <is>
          <t>Faire un exercice de gestion de crise régulièrement</t>
        </is>
      </c>
      <c r="D43" s="3" t="inlineStr">
        <is>
          <t>rouge</t>
        </is>
      </c>
      <c r="E43" s="3" t="inlineStr">
        <is>
          <t>Aucun exercice de crise cyber réalisé</t>
        </is>
      </c>
      <c r="F43" s="3" t="inlineStr">
        <is>
          <t>M13</t>
        </is>
      </c>
      <c r="G43" s="3" t="inlineStr">
        <is>
          <t>5.21, 5.23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0" customWidth="1" min="3" max="3"/>
    <col width="10" customWidth="1" min="4" max="4"/>
  </cols>
  <sheetData>
    <row r="1">
      <c r="A1" s="2" t="inlineStr">
        <is>
          <t>Réf.</t>
        </is>
      </c>
      <c r="B1" s="2" t="inlineStr">
        <is>
          <t>Valeur métier</t>
        </is>
      </c>
      <c r="C1" s="2" t="inlineStr">
        <is>
          <t>Événement redouté</t>
        </is>
      </c>
      <c r="D1" s="2" t="inlineStr">
        <is>
          <t>Gravité</t>
        </is>
      </c>
    </row>
    <row r="2">
      <c r="A2" s="3" t="inlineStr">
        <is>
          <t>ER1</t>
        </is>
      </c>
      <c r="B2" s="3" t="inlineStr">
        <is>
          <t>VM1</t>
        </is>
      </c>
      <c r="C2" s="3" t="inlineStr">
        <is>
          <t>Interruption du traitement des paiements pendant une période de forte activité</t>
        </is>
      </c>
      <c r="D2" s="3" t="n">
        <v>4</v>
      </c>
    </row>
    <row r="3">
      <c r="A3" s="3" t="inlineStr">
        <is>
          <t>ER2</t>
        </is>
      </c>
      <c r="B3" s="3" t="inlineStr">
        <is>
          <t>VM1</t>
        </is>
      </c>
      <c r="C3" s="3" t="inlineStr">
        <is>
          <t>Altération des données de transaction (montants erronés, doubles débits)</t>
        </is>
      </c>
      <c r="D3" s="3" t="n">
        <v>3</v>
      </c>
    </row>
    <row r="4">
      <c r="A4" s="3" t="inlineStr">
        <is>
          <t>ER3</t>
        </is>
      </c>
      <c r="B4" s="3" t="inlineStr">
        <is>
          <t>VM2</t>
        </is>
      </c>
      <c r="C4" s="3" t="inlineStr">
        <is>
          <t>Fuite des données bancaires et personnelles des utilisateurs</t>
        </is>
      </c>
      <c r="D4" s="3" t="n">
        <v>4</v>
      </c>
    </row>
    <row r="5">
      <c r="A5" s="3" t="inlineStr">
        <is>
          <t>ER4</t>
        </is>
      </c>
      <c r="B5" s="3" t="inlineStr">
        <is>
          <t>VM2</t>
        </is>
      </c>
      <c r="C5" s="3" t="inlineStr">
        <is>
          <t>Usurpation de comptes permettant des transactions frauduleuses</t>
        </is>
      </c>
      <c r="D5" s="3" t="n">
        <v>3</v>
      </c>
    </row>
    <row r="6">
      <c r="A6" s="3" t="inlineStr">
        <is>
          <t>ER5</t>
        </is>
      </c>
      <c r="B6" s="3" t="inlineStr">
        <is>
          <t>VM3</t>
        </is>
      </c>
      <c r="C6" s="3" t="inlineStr">
        <is>
          <t>Falsification ou indisponibilité des rapports transmis à l'ACPR et à TRACFIN</t>
        </is>
      </c>
      <c r="D6" s="3" t="n">
        <v>4</v>
      </c>
    </row>
    <row r="7">
      <c r="A7" s="3" t="inlineStr">
        <is>
          <t>ER6</t>
        </is>
      </c>
      <c r="B7" s="3" t="inlineStr">
        <is>
          <t>VM1</t>
        </is>
      </c>
      <c r="C7" s="3" t="inlineStr">
        <is>
          <t>Fraude massive exploitant une faille de l'API marchands</t>
        </is>
      </c>
      <c r="D7" s="3" t="n">
        <v>4</v>
      </c>
    </row>
    <row r="8">
      <c r="A8" s="3" t="inlineStr">
        <is>
          <t>ER7</t>
        </is>
      </c>
      <c r="B8" s="3" t="inlineStr">
        <is>
          <t>VM2</t>
        </is>
      </c>
      <c r="C8" s="3" t="inlineStr">
        <is>
          <t>Divulgation de données personnelles des salariés</t>
        </is>
      </c>
      <c r="D8" s="3" t="n">
        <v>2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12" customWidth="1" min="4" max="4"/>
    <col width="10" customWidth="1" min="5" max="5"/>
    <col width="60" customWidth="1" min="6" max="6"/>
  </cols>
  <sheetData>
    <row r="1">
      <c r="A1" s="2" t="inlineStr">
        <is>
          <t>Réf.</t>
        </is>
      </c>
      <c r="B1" s="2" t="inlineStr">
        <is>
          <t>Source de risque</t>
        </is>
      </c>
      <c r="C1" s="2" t="inlineStr">
        <is>
          <t>Objectif visé</t>
        </is>
      </c>
      <c r="D1" s="2" t="inlineStr">
        <is>
          <t>Pertinence</t>
        </is>
      </c>
      <c r="E1" s="2" t="inlineStr">
        <is>
          <t>Retenu</t>
        </is>
      </c>
      <c r="F1" s="2" t="inlineStr">
        <is>
          <t>Justification</t>
        </is>
      </c>
    </row>
    <row r="2">
      <c r="A2" s="3" t="inlineStr">
        <is>
          <t>SO1</t>
        </is>
      </c>
      <c r="B2" s="3" t="inlineStr">
        <is>
          <t>Fraudeur organisé</t>
        </is>
      </c>
      <c r="C2" s="3" t="inlineStr">
        <is>
          <t>Détourner des fonds par des transactions frauduleuses à grande échelle</t>
        </is>
      </c>
      <c r="D2" s="3" t="inlineStr">
        <is>
          <t>Élevée</t>
        </is>
      </c>
      <c r="E2" s="3" t="inlineStr">
        <is>
          <t>oui</t>
        </is>
      </c>
      <c r="F2" s="3" t="inlineStr">
        <is>
          <t>Le modèle économique de CelerPay (volume élevé de transactions, marchands variés) est une cible naturelle pour la fraude organisée</t>
        </is>
      </c>
    </row>
    <row r="3">
      <c r="A3" s="3" t="inlineStr">
        <is>
          <t>SO2</t>
        </is>
      </c>
      <c r="B3" s="3" t="inlineStr">
        <is>
          <t>Concurrent (fintech rivale)</t>
        </is>
      </c>
      <c r="C3" s="3" t="inlineStr">
        <is>
          <t>Voler la base clients et l'algorithme de scoring antifraude</t>
        </is>
      </c>
      <c r="D3" s="3" t="inlineStr">
        <is>
          <t>Élevée</t>
        </is>
      </c>
      <c r="E3" s="3" t="inlineStr">
        <is>
          <t>oui</t>
        </is>
      </c>
      <c r="F3" s="3" t="inlineStr">
        <is>
          <t>Marché du paiement B2B2C très concurrentiel ; la base clients et le scoring antifraude sont l'avantage compétitif principal</t>
        </is>
      </c>
    </row>
    <row r="4">
      <c r="A4" s="3" t="inlineStr">
        <is>
          <t>SO3</t>
        </is>
      </c>
      <c r="B4" s="3" t="inlineStr">
        <is>
          <t>Hacktiviste</t>
        </is>
      </c>
      <c r="C4" s="3" t="inlineStr">
        <is>
          <t>Dénoncer publiquement les pratiques tarifaires en publiant des données clients</t>
        </is>
      </c>
      <c r="D4" s="3" t="inlineStr">
        <is>
          <t>Faible</t>
        </is>
      </c>
      <c r="E4" s="3" t="inlineStr">
        <is>
          <t>non</t>
        </is>
      </c>
      <c r="F4" s="3" t="inlineStr">
        <is>
          <t>Aucune polémique publique documentée à ce jour ; écarté au premier cycle, à surveiller</t>
        </is>
      </c>
    </row>
    <row r="5">
      <c r="A5" s="3" t="inlineStr">
        <is>
          <t>SO4</t>
        </is>
      </c>
      <c r="B5" s="3" t="inlineStr">
        <is>
          <t>Cybercriminel isolé</t>
        </is>
      </c>
      <c r="C5" s="3" t="inlineStr">
        <is>
          <t>Menacer de publier des données de paiement volées, à des fins d'extorsion limitée</t>
        </is>
      </c>
      <c r="D5" s="3" t="inlineStr">
        <is>
          <t>Faible</t>
        </is>
      </c>
      <c r="E5" s="3" t="inlineStr">
        <is>
          <t>non</t>
        </is>
      </c>
      <c r="F5" s="3" t="inlineStr">
        <is>
          <t>Motivation financière limitée, peu de cas avérés contre des acteurs de cette taille ; mis sous surveillance</t>
        </is>
      </c>
    </row>
    <row r="6">
      <c r="A6" s="3" t="inlineStr">
        <is>
          <t>SO5</t>
        </is>
      </c>
      <c r="B6" s="3" t="inlineStr">
        <is>
          <t>Cybercriminel organisé</t>
        </is>
      </c>
      <c r="C6" s="3" t="inlineStr">
        <is>
          <t>Chiffrer les systèmes (rançongiciel) pour paralyser le traitement des paiements et obtenir une rançon</t>
        </is>
      </c>
      <c r="D6" s="3" t="inlineStr">
        <is>
          <t>Élevée</t>
        </is>
      </c>
      <c r="E6" s="3" t="inlineStr">
        <is>
          <t>oui</t>
        </is>
      </c>
      <c r="F6" s="3" t="inlineStr">
        <is>
          <t>Objectif purement financier, attaque opportuniste et industrialisée. Le socle de sécurité est faible et l'interruption du service crée une forte pression pour payer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2" customWidth="1" min="4" max="4"/>
    <col width="13" customWidth="1" min="5" max="5"/>
    <col width="10" customWidth="1" min="6" max="6"/>
    <col width="11" customWidth="1" min="7" max="7"/>
    <col width="13" customWidth="1" min="8" max="8"/>
    <col width="10" customWidth="1" min="9" max="9"/>
    <col width="19" customWidth="1" min="10" max="10"/>
    <col width="16" customWidth="1" min="11" max="11"/>
    <col width="19" customWidth="1" min="12" max="12"/>
  </cols>
  <sheetData>
    <row r="1">
      <c r="A1" s="2" t="inlineStr">
        <is>
          <t>Réf.</t>
        </is>
      </c>
      <c r="B1" s="2" t="inlineStr">
        <is>
          <t>Nom</t>
        </is>
      </c>
      <c r="C1" s="2" t="inlineStr">
        <is>
          <t>Catégorie</t>
        </is>
      </c>
      <c r="D1" s="2" t="inlineStr">
        <is>
          <t>Dépendance</t>
        </is>
      </c>
      <c r="E1" s="2" t="inlineStr">
        <is>
          <t>Pénétration</t>
        </is>
      </c>
      <c r="F1" s="2" t="inlineStr">
        <is>
          <t>Maturité</t>
        </is>
      </c>
      <c r="G1" s="2" t="inlineStr">
        <is>
          <t>Confiance</t>
        </is>
      </c>
      <c r="H1" s="2" t="inlineStr">
        <is>
          <t>Dangerosité</t>
        </is>
      </c>
      <c r="I1" s="2" t="inlineStr">
        <is>
          <t>Critique</t>
        </is>
      </c>
      <c r="J1" s="2" t="inlineStr">
        <is>
          <t>Pénétration après</t>
        </is>
      </c>
      <c r="K1" s="2" t="inlineStr">
        <is>
          <t>Maturité après</t>
        </is>
      </c>
      <c r="L1" s="2" t="inlineStr">
        <is>
          <t>Dangerosité après</t>
        </is>
      </c>
    </row>
    <row r="2">
      <c r="A2" s="3" t="inlineStr">
        <is>
          <t>C1</t>
        </is>
      </c>
      <c r="B2" s="3" t="inlineStr">
        <is>
          <t>Commerçants partenaires (B2B)</t>
        </is>
      </c>
      <c r="C2" s="3" t="inlineStr">
        <is>
          <t>Client</t>
        </is>
      </c>
      <c r="D2" s="3" t="n">
        <v>2</v>
      </c>
      <c r="E2" s="3" t="n">
        <v>1</v>
      </c>
      <c r="F2" s="3" t="n">
        <v>3</v>
      </c>
      <c r="G2" s="3" t="n">
        <v>3</v>
      </c>
      <c r="H2" s="3">
        <f>ROUND(D2*E2/(F2*G2),2)</f>
        <v/>
      </c>
      <c r="I2" s="3" t="inlineStr">
        <is>
          <t>non</t>
        </is>
      </c>
      <c r="J2" s="3" t="n">
        <v>1</v>
      </c>
      <c r="K2" s="3" t="n">
        <v>3</v>
      </c>
      <c r="L2" s="3">
        <f>ROUND(D2*J2/(K2*G2),2)</f>
        <v/>
      </c>
    </row>
    <row r="3">
      <c r="A3" s="3" t="inlineStr">
        <is>
          <t>C2</t>
        </is>
      </c>
      <c r="B3" s="3" t="inlineStr">
        <is>
          <t>Utilisateurs particuliers (application mobile)</t>
        </is>
      </c>
      <c r="C3" s="3" t="inlineStr">
        <is>
          <t>Client</t>
        </is>
      </c>
      <c r="D3" s="3" t="n">
        <v>1</v>
      </c>
      <c r="E3" s="3" t="n">
        <v>1</v>
      </c>
      <c r="F3" s="3" t="n">
        <v>2</v>
      </c>
      <c r="G3" s="3" t="n">
        <v>3</v>
      </c>
      <c r="H3" s="3">
        <f>ROUND(D3*E3/(F3*G3),2)</f>
        <v/>
      </c>
      <c r="I3" s="3" t="inlineStr">
        <is>
          <t>non</t>
        </is>
      </c>
      <c r="J3" s="3" t="n">
        <v>1</v>
      </c>
      <c r="K3" s="3" t="n">
        <v>2</v>
      </c>
      <c r="L3" s="3">
        <f>ROUND(D3*J3/(K3*G3),2)</f>
        <v/>
      </c>
    </row>
    <row r="4">
      <c r="A4" s="3" t="inlineStr">
        <is>
          <t>C3</t>
        </is>
      </c>
      <c r="B4" s="3" t="inlineStr">
        <is>
          <t>Agrégateurs et plateformes e-commerce partenaires</t>
        </is>
      </c>
      <c r="C4" s="3" t="inlineStr">
        <is>
          <t>Client</t>
        </is>
      </c>
      <c r="D4" s="3" t="n">
        <v>2</v>
      </c>
      <c r="E4" s="3" t="n">
        <v>2</v>
      </c>
      <c r="F4" s="3" t="n">
        <v>3</v>
      </c>
      <c r="G4" s="3" t="n">
        <v>3</v>
      </c>
      <c r="H4" s="3">
        <f>ROUND(D4*E4/(F4*G4),2)</f>
        <v/>
      </c>
      <c r="I4" s="3" t="inlineStr">
        <is>
          <t>non</t>
        </is>
      </c>
      <c r="J4" s="3" t="n">
        <v>2</v>
      </c>
      <c r="K4" s="3" t="n">
        <v>3</v>
      </c>
      <c r="L4" s="3">
        <f>ROUND(D4*J4/(K4*G4),2)</f>
        <v/>
      </c>
    </row>
    <row r="5">
      <c r="A5" s="3" t="inlineStr">
        <is>
          <t>P1</t>
        </is>
      </c>
      <c r="B5" s="3" t="inlineStr">
        <is>
          <t>Réseaux de cartes (interbancaire)</t>
        </is>
      </c>
      <c r="C5" s="3" t="inlineStr">
        <is>
          <t>Partenaire</t>
        </is>
      </c>
      <c r="D5" s="3" t="n">
        <v>2</v>
      </c>
      <c r="E5" s="3" t="n">
        <v>2</v>
      </c>
      <c r="F5" s="3" t="n">
        <v>2</v>
      </c>
      <c r="G5" s="3" t="n">
        <v>2</v>
      </c>
      <c r="H5" s="3">
        <f>ROUND(D5*E5/(F5*G5),2)</f>
        <v/>
      </c>
      <c r="I5" s="3" t="inlineStr">
        <is>
          <t>non</t>
        </is>
      </c>
      <c r="J5" s="3" t="n">
        <v>2</v>
      </c>
      <c r="K5" s="3" t="n">
        <v>2</v>
      </c>
      <c r="L5" s="3">
        <f>ROUND(D5*J5/(K5*G5),2)</f>
        <v/>
      </c>
    </row>
    <row r="6">
      <c r="A6" s="3" t="inlineStr">
        <is>
          <t>P2</t>
        </is>
      </c>
      <c r="B6" s="3" t="inlineStr">
        <is>
          <t>ACPR (régulateur)</t>
        </is>
      </c>
      <c r="C6" s="3" t="inlineStr">
        <is>
          <t>Partenaire</t>
        </is>
      </c>
      <c r="D6" s="3" t="n">
        <v>3</v>
      </c>
      <c r="E6" s="3" t="n">
        <v>2</v>
      </c>
      <c r="F6" s="3" t="n">
        <v>4</v>
      </c>
      <c r="G6" s="3" t="n">
        <v>4</v>
      </c>
      <c r="H6" s="3">
        <f>ROUND(D6*E6/(F6*G6),2)</f>
        <v/>
      </c>
      <c r="I6" s="3" t="inlineStr">
        <is>
          <t>non</t>
        </is>
      </c>
      <c r="J6" s="3" t="n">
        <v>2</v>
      </c>
      <c r="K6" s="3" t="n">
        <v>4</v>
      </c>
      <c r="L6" s="3">
        <f>ROUND(D6*J6/(K6*G6),2)</f>
        <v/>
      </c>
    </row>
    <row r="7">
      <c r="A7" s="3" t="inlineStr">
        <is>
          <t>P3</t>
        </is>
      </c>
      <c r="B7" s="3" t="inlineStr">
        <is>
          <t>Banque partenaire (compte de cantonnement)</t>
        </is>
      </c>
      <c r="C7" s="3" t="inlineStr">
        <is>
          <t>Partenaire</t>
        </is>
      </c>
      <c r="D7" s="3" t="n">
        <v>3</v>
      </c>
      <c r="E7" s="3" t="n">
        <v>3</v>
      </c>
      <c r="F7" s="3" t="n">
        <v>2</v>
      </c>
      <c r="G7" s="3" t="n">
        <v>2</v>
      </c>
      <c r="H7" s="3">
        <f>ROUND(D7*E7/(F7*G7),2)</f>
        <v/>
      </c>
      <c r="I7" s="3" t="inlineStr">
        <is>
          <t>oui</t>
        </is>
      </c>
      <c r="J7" s="3" t="n">
        <v>2</v>
      </c>
      <c r="K7" s="3" t="n">
        <v>2</v>
      </c>
      <c r="L7" s="3">
        <f>ROUND(D7*J7/(K7*G7),2)</f>
        <v/>
      </c>
    </row>
    <row r="8">
      <c r="A8" s="3" t="inlineStr">
        <is>
          <t>F1</t>
        </is>
      </c>
      <c r="B8" s="3" t="inlineStr">
        <is>
          <t>Fournisseur d'hébergement cloud</t>
        </is>
      </c>
      <c r="C8" s="3" t="inlineStr">
        <is>
          <t>Prestataire</t>
        </is>
      </c>
      <c r="D8" s="3" t="n">
        <v>3</v>
      </c>
      <c r="E8" s="3" t="n">
        <v>2</v>
      </c>
      <c r="F8" s="3" t="n">
        <v>3</v>
      </c>
      <c r="G8" s="3" t="n">
        <v>2</v>
      </c>
      <c r="H8" s="3">
        <f>ROUND(D8*E8/(F8*G8),2)</f>
        <v/>
      </c>
      <c r="I8" s="3" t="inlineStr">
        <is>
          <t>non</t>
        </is>
      </c>
      <c r="J8" s="3" t="n">
        <v>2</v>
      </c>
      <c r="K8" s="3" t="n">
        <v>3</v>
      </c>
      <c r="L8" s="3">
        <f>ROUND(D8*J8/(K8*G8),2)</f>
        <v/>
      </c>
    </row>
    <row r="9">
      <c r="A9" s="3" t="inlineStr">
        <is>
          <t>F2</t>
        </is>
      </c>
      <c r="B9" s="3" t="inlineStr">
        <is>
          <t>Éditeur du cœur bancaire (core banking)</t>
        </is>
      </c>
      <c r="C9" s="3" t="inlineStr">
        <is>
          <t>Prestataire</t>
        </is>
      </c>
      <c r="D9" s="3" t="n">
        <v>2</v>
      </c>
      <c r="E9" s="3" t="n">
        <v>3</v>
      </c>
      <c r="F9" s="3" t="n">
        <v>1</v>
      </c>
      <c r="G9" s="3" t="n">
        <v>3</v>
      </c>
      <c r="H9" s="3">
        <f>ROUND(D9*E9/(F9*G9),2)</f>
        <v/>
      </c>
      <c r="I9" s="3" t="inlineStr">
        <is>
          <t>oui</t>
        </is>
      </c>
      <c r="J9" s="3" t="n">
        <v>2</v>
      </c>
      <c r="K9" s="3" t="n">
        <v>1</v>
      </c>
      <c r="L9" s="3">
        <f>ROUND(D9*J9/(K9*G9),2)</f>
        <v/>
      </c>
    </row>
    <row r="10">
      <c r="A10" s="3" t="inlineStr">
        <is>
          <t>F3</t>
        </is>
      </c>
      <c r="B10" s="3" t="inlineStr">
        <is>
          <t>Centre technique de Casablanca (développement, support)</t>
        </is>
      </c>
      <c r="C10" s="3" t="inlineStr">
        <is>
          <t>Prestataire</t>
        </is>
      </c>
      <c r="D10" s="3" t="n">
        <v>3</v>
      </c>
      <c r="E10" s="3" t="n">
        <v>4</v>
      </c>
      <c r="F10" s="3" t="n">
        <v>2</v>
      </c>
      <c r="G10" s="3" t="n">
        <v>2</v>
      </c>
      <c r="H10" s="3">
        <f>ROUND(D10*E10/(F10*G10),2)</f>
        <v/>
      </c>
      <c r="I10" s="3" t="inlineStr">
        <is>
          <t>oui</t>
        </is>
      </c>
      <c r="J10" s="3" t="n">
        <v>4</v>
      </c>
      <c r="K10" s="3" t="n">
        <v>3</v>
      </c>
      <c r="L10" s="3">
        <f>ROUND(D10*J10/(K10*G10),2)</f>
        <v/>
      </c>
    </row>
  </sheetData>
  <autoFilter ref="A1:L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30" customWidth="1" min="12" max="12"/>
    <col width="70" customWidth="1" min="13" max="13"/>
  </cols>
  <sheetData>
    <row r="1">
      <c r="A1" s="2" t="inlineStr">
        <is>
          <t>Réf.</t>
        </is>
      </c>
      <c r="B1" s="2" t="inlineStr">
        <is>
          <t>Scénario de risque</t>
        </is>
      </c>
      <c r="C1" s="2" t="inlineStr">
        <is>
          <t>Scénario stratégique</t>
        </is>
      </c>
      <c r="D1" s="2" t="inlineStr">
        <is>
          <t>G</t>
        </is>
      </c>
      <c r="E1" s="2" t="inlineStr">
        <is>
          <t>V</t>
        </is>
      </c>
      <c r="F1" s="2" t="inlineStr">
        <is>
          <t>Score</t>
        </is>
      </c>
      <c r="G1" s="2" t="inlineStr">
        <is>
          <t>Niveau</t>
        </is>
      </c>
      <c r="H1" s="2" t="inlineStr">
        <is>
          <t>G rés.</t>
        </is>
      </c>
      <c r="I1" s="2" t="inlineStr">
        <is>
          <t>V rés.</t>
        </is>
      </c>
      <c r="J1" s="2" t="inlineStr">
        <is>
          <t>Score rés.</t>
        </is>
      </c>
      <c r="K1" s="2" t="inlineStr">
        <is>
          <t>Niveau rés.</t>
        </is>
      </c>
      <c r="L1" s="2" t="inlineStr">
        <is>
          <t>Mesures</t>
        </is>
      </c>
      <c r="M1" s="2" t="inlineStr">
        <is>
          <t>Justification du résiduel</t>
        </is>
      </c>
    </row>
    <row r="2">
      <c r="A2" s="3" t="inlineStr">
        <is>
          <t>R1</t>
        </is>
      </c>
      <c r="B2" s="3" t="inlineStr">
        <is>
          <t>Un concurrent vole la base clients par un canal d'exfiltration direct</t>
        </is>
      </c>
      <c r="C2" s="3" t="inlineStr">
        <is>
          <t>SS1</t>
        </is>
      </c>
      <c r="D2" s="3" t="n">
        <v>3</v>
      </c>
      <c r="E2" s="3" t="n">
        <v>3</v>
      </c>
      <c r="F2" s="3">
        <f>D2*E2</f>
        <v/>
      </c>
      <c r="G2" s="3">
        <f>IF(F2&gt;=8,"Élevé",IF(F2&gt;=4,"Moyen","Faible"))</f>
        <v/>
      </c>
      <c r="H2" s="3" t="n">
        <v>3</v>
      </c>
      <c r="I2" s="3" t="n">
        <v>2</v>
      </c>
      <c r="J2" s="3">
        <f>H2*I2</f>
        <v/>
      </c>
      <c r="K2" s="3">
        <f>IF(J2&gt;=8,"Élevé",IF(J2&gt;=4,"Moyen","Faible"))</f>
        <v/>
      </c>
      <c r="L2" s="3" t="inlineStr">
        <is>
          <t>M01, M02, M07, M08, M11, N01, N02, N03, N07, N09</t>
        </is>
      </c>
      <c r="M2" s="3" t="inlineStr">
        <is>
          <t>Les mesures M01, M07, M08, M11, N01, N02, N03 ferment les modes opératoires (hameçonnage, salarié corrompu, clé USB piégée) mais un salarié corrompu reste possible</t>
        </is>
      </c>
    </row>
    <row r="3">
      <c r="A3" s="3" t="inlineStr">
        <is>
          <t>R2</t>
        </is>
      </c>
      <c r="B3" s="3" t="inlineStr">
        <is>
          <t>Un concurrent vole des données clients en exfiltrant celles détenues par la banque partenaire</t>
        </is>
      </c>
      <c r="C3" s="3" t="inlineStr">
        <is>
          <t>SS1</t>
        </is>
      </c>
      <c r="D3" s="3" t="n">
        <v>3</v>
      </c>
      <c r="E3" s="3" t="n">
        <v>2</v>
      </c>
      <c r="F3" s="3">
        <f>D3*E3</f>
        <v/>
      </c>
      <c r="G3" s="3">
        <f>IF(F3&gt;=8,"Élevé",IF(F3&gt;=4,"Moyen","Faible"))</f>
        <v/>
      </c>
      <c r="H3" s="3" t="n">
        <v>3</v>
      </c>
      <c r="I3" s="3" t="n">
        <v>1</v>
      </c>
      <c r="J3" s="3">
        <f>H3*I3</f>
        <v/>
      </c>
      <c r="K3" s="3">
        <f>IF(J3&gt;=8,"Élevé",IF(J3&gt;=4,"Moyen","Faible"))</f>
        <v/>
      </c>
      <c r="L3" s="3" t="inlineStr">
        <is>
          <t>M03, M04, M05, M06, M10, N09</t>
        </is>
      </c>
      <c r="M3" s="3" t="inlineStr">
        <is>
          <t>M06 (déjà terminée) réduit les données transmises à la banque partenaire ; M03, M05 et M10 encadrent le partenariat et l'interconnexion</t>
        </is>
      </c>
    </row>
    <row r="4">
      <c r="A4" s="3" t="inlineStr">
        <is>
          <t>R3</t>
        </is>
      </c>
      <c r="B4" s="3" t="inlineStr">
        <is>
          <t>Un concurrent vole des données clients via le centre technique de Casablanca</t>
        </is>
      </c>
      <c r="C4" s="3" t="inlineStr">
        <is>
          <t>SS1</t>
        </is>
      </c>
      <c r="D4" s="3" t="n">
        <v>3</v>
      </c>
      <c r="E4" s="3" t="n">
        <v>4</v>
      </c>
      <c r="F4" s="3">
        <f>D4*E4</f>
        <v/>
      </c>
      <c r="G4" s="3">
        <f>IF(F4&gt;=8,"Élevé",IF(F4&gt;=4,"Moyen","Faible"))</f>
        <v/>
      </c>
      <c r="H4" s="3" t="n">
        <v>3</v>
      </c>
      <c r="I4" s="3" t="n">
        <v>3</v>
      </c>
      <c r="J4" s="3">
        <f>H4*I4</f>
        <v/>
      </c>
      <c r="K4" s="3">
        <f>IF(J4&gt;=8,"Élevé",IF(J4&gt;=4,"Moyen","Faible"))</f>
        <v/>
      </c>
      <c r="L4" s="3" t="inlineStr">
        <is>
          <t>M03, M04, M05, M07, M11, N04, N05, N09, N11</t>
        </is>
      </c>
      <c r="M4" s="3" t="inlineStr">
        <is>
          <t>La direction maintient ce risque à un niveau élevé : le centre technique, en cours de montée en maturité, résiste au changement de méthodes de travail. Les mesures ramènent la vraisemblance de 4 à 3 seulement</t>
        </is>
      </c>
    </row>
    <row r="5">
      <c r="A5" s="3" t="inlineStr">
        <is>
          <t>R4</t>
        </is>
      </c>
      <c r="B5" s="3" t="inlineStr">
        <is>
          <t>Un fraudeur détourne des fonds en compromettant l'éditeur du cœur bancaire</t>
        </is>
      </c>
      <c r="C5" s="3" t="inlineStr">
        <is>
          <t>SS2</t>
        </is>
      </c>
      <c r="D5" s="3" t="n">
        <v>4</v>
      </c>
      <c r="E5" s="3" t="n">
        <v>2</v>
      </c>
      <c r="F5" s="3">
        <f>D5*E5</f>
        <v/>
      </c>
      <c r="G5" s="3">
        <f>IF(F5&gt;=8,"Élevé",IF(F5&gt;=4,"Moyen","Faible"))</f>
        <v/>
      </c>
      <c r="H5" s="3" t="n">
        <v>4</v>
      </c>
      <c r="I5" s="3" t="n">
        <v>1</v>
      </c>
      <c r="J5" s="3">
        <f>H5*I5</f>
        <v/>
      </c>
      <c r="K5" s="3">
        <f>IF(J5&gt;=8,"Élevé",IF(J5&gt;=4,"Moyen","Faible"))</f>
        <v/>
      </c>
      <c r="L5" s="3" t="inlineStr">
        <is>
          <t>M03, M04, M05, M09, M12, M13, N06, N08, N09, N12, N13</t>
        </is>
      </c>
      <c r="M5" s="3" t="inlineStr">
        <is>
          <t>M13 encadre les accès de maintenance de l'éditeur, M09 durcit la plateforme transactionnelle : la vraisemblance tombe à 1. La gravité reste 4</t>
        </is>
      </c>
    </row>
    <row r="6">
      <c r="A6" s="3" t="inlineStr">
        <is>
          <t>R5</t>
        </is>
      </c>
      <c r="B6" s="3" t="inlineStr">
        <is>
          <t>Un fraudeur détourne des fonds en exploitant une faille de l'API marchands</t>
        </is>
      </c>
      <c r="C6" s="3" t="inlineStr">
        <is>
          <t>SS2</t>
        </is>
      </c>
      <c r="D6" s="3" t="n">
        <v>4</v>
      </c>
      <c r="E6" s="3" t="n">
        <v>1</v>
      </c>
      <c r="F6" s="3">
        <f>D6*E6</f>
        <v/>
      </c>
      <c r="G6" s="3">
        <f>IF(F6&gt;=8,"Élevé",IF(F6&gt;=4,"Moyen","Faible"))</f>
        <v/>
      </c>
      <c r="H6" s="3" t="n">
        <v>3</v>
      </c>
      <c r="I6" s="3" t="n">
        <v>1</v>
      </c>
      <c r="J6" s="3">
        <f>H6*I6</f>
        <v/>
      </c>
      <c r="K6" s="3">
        <f>IF(J6&gt;=8,"Élevé",IF(J6&gt;=4,"Moyen","Faible"))</f>
        <v/>
      </c>
      <c r="L6" s="3" t="inlineStr">
        <is>
          <t>M02, M09, M12, N09, N10, N12, N13</t>
        </is>
      </c>
      <c r="M6" s="3" t="inlineStr">
        <is>
          <t>N10 (contrôle d'intégrité et double validation des transactions) détecte l'anomalie avant règlement : la gravité passe à 3</t>
        </is>
      </c>
    </row>
    <row r="7">
      <c r="A7" s="3" t="inlineStr">
        <is>
          <t>R6</t>
        </is>
      </c>
      <c r="B7" s="3" t="inlineStr">
        <is>
          <t>Un cybercriminel paralyse le traitement des paiements par un rançongiciel déployé depuis le centre technique</t>
        </is>
      </c>
      <c r="C7" s="3" t="inlineStr">
        <is>
          <t>SS3</t>
        </is>
      </c>
      <c r="D7" s="3" t="n">
        <v>4</v>
      </c>
      <c r="E7" s="3" t="n">
        <v>4</v>
      </c>
      <c r="F7" s="3">
        <f>D7*E7</f>
        <v/>
      </c>
      <c r="G7" s="3">
        <f>IF(F7&gt;=8,"Élevé",IF(F7&gt;=4,"Moyen","Faible"))</f>
        <v/>
      </c>
      <c r="H7" s="3" t="n">
        <v>3</v>
      </c>
      <c r="I7" s="3" t="n">
        <v>2</v>
      </c>
      <c r="J7" s="3">
        <f>H7*I7</f>
        <v/>
      </c>
      <c r="K7" s="3">
        <f>IF(J7&gt;=8,"Élevé",IF(J7&gt;=4,"Moyen","Faible"))</f>
        <v/>
      </c>
      <c r="L7" s="3" t="inlineStr">
        <is>
          <t>M02, M03, M04, M05, M07, M09, M11, M12, N01, N02, N04, N05, N06, N07, N08, N09, N11</t>
        </is>
      </c>
      <c r="M7" s="3" t="inlineStr">
        <is>
          <t>N04, N05, N01 gênent le déploiement ; N06 (sauvegardes hors ligne testées) et M12 (continuité) ramènent l'interruption sous 24 heures, donc gravité 3</t>
        </is>
      </c>
    </row>
    <row r="8">
      <c r="A8" s="3" t="inlineStr">
        <is>
          <t>R7</t>
        </is>
      </c>
      <c r="B8" s="3" t="inlineStr">
        <is>
          <t>Un cybercriminel paralyse le traitement des paiements par un rançongiciel après hameçonnage direct des salariés</t>
        </is>
      </c>
      <c r="C8" s="3" t="inlineStr">
        <is>
          <t>SS3</t>
        </is>
      </c>
      <c r="D8" s="3" t="n">
        <v>4</v>
      </c>
      <c r="E8" s="3" t="n">
        <v>3</v>
      </c>
      <c r="F8" s="3">
        <f>D8*E8</f>
        <v/>
      </c>
      <c r="G8" s="3">
        <f>IF(F8&gt;=8,"Élevé",IF(F8&gt;=4,"Moyen","Faible"))</f>
        <v/>
      </c>
      <c r="H8" s="3" t="n">
        <v>3</v>
      </c>
      <c r="I8" s="3" t="n">
        <v>2</v>
      </c>
      <c r="J8" s="3">
        <f>H8*I8</f>
        <v/>
      </c>
      <c r="K8" s="3">
        <f>IF(J8&gt;=8,"Élevé",IF(J8&gt;=4,"Moyen","Faible"))</f>
        <v/>
      </c>
      <c r="L8" s="3" t="inlineStr">
        <is>
          <t>M01, M02, M07, M09, M11, M12, N01, N02, N03, N04, N06, N07, N08, N09</t>
        </is>
      </c>
      <c r="M8" s="3" t="inlineStr">
        <is>
          <t>M01, N07, N03, N01 réduisent la probabilité de compromission et de propagation ; N06 et M12 limitent la durée d'interruption</t>
        </is>
      </c>
    </row>
  </sheetData>
  <autoFilter ref="A1:M8"/>
  <conditionalFormatting sqref="G2:G8">
    <cfRule type="cellIs" priority="1" operator="equal" dxfId="0">
      <formula>"Faible"</formula>
    </cfRule>
    <cfRule type="cellIs" priority="2" operator="equal" dxfId="1">
      <formula>"Moyen"</formula>
    </cfRule>
    <cfRule type="cellIs" priority="3" operator="equal" dxfId="2">
      <formula>"Élevé"</formula>
    </cfRule>
  </conditionalFormatting>
  <conditionalFormatting sqref="K2:K8">
    <cfRule type="cellIs" priority="4" operator="equal" dxfId="0">
      <formula>"Faible"</formula>
    </cfRule>
    <cfRule type="cellIs" priority="5" operator="equal" dxfId="1">
      <formula>"Moyen"</formula>
    </cfRule>
    <cfRule type="cellIs" priority="6" operator="equal" dxfId="2">
      <formula>"Élevé"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10" customWidth="1" min="4" max="4"/>
    <col width="13" customWidth="1" min="5" max="5"/>
    <col width="10" customWidth="1" min="6" max="6"/>
    <col width="24" customWidth="1" min="7" max="7"/>
    <col width="10" customWidth="1" min="8" max="8"/>
    <col width="10" customWidth="1" min="9" max="9"/>
    <col width="34" customWidth="1" min="10" max="10"/>
  </cols>
  <sheetData>
    <row r="1">
      <c r="A1" s="2" t="inlineStr">
        <is>
          <t>Réf.</t>
        </is>
      </c>
      <c r="B1" s="2" t="inlineStr">
        <is>
          <t>Mesure</t>
        </is>
      </c>
      <c r="C1" s="2" t="inlineStr">
        <is>
          <t>Axe</t>
        </is>
      </c>
      <c r="D1" s="2" t="inlineStr">
        <is>
          <t>Risques</t>
        </is>
      </c>
      <c r="E1" s="2" t="inlineStr">
        <is>
          <t>Responsable</t>
        </is>
      </c>
      <c r="F1" s="2" t="inlineStr">
        <is>
          <t>Coût</t>
        </is>
      </c>
      <c r="G1" s="2" t="inlineStr">
        <is>
          <t>Échéance (mois après T0)</t>
        </is>
      </c>
      <c r="H1" s="2" t="inlineStr">
        <is>
          <t>Priorité</t>
        </is>
      </c>
      <c r="I1" s="2" t="inlineStr">
        <is>
          <t>Statut</t>
        </is>
      </c>
      <c r="J1" s="2" t="inlineStr">
        <is>
          <t>Annexe A</t>
        </is>
      </c>
    </row>
    <row r="2">
      <c r="A2" s="3" t="inlineStr">
        <is>
          <t>M01</t>
        </is>
      </c>
      <c r="B2" s="3" t="inlineStr">
        <is>
          <t>Sensibilisation renforcée à l'hameçonnage par un prestataire spécialisé</t>
        </is>
      </c>
      <c r="C2" s="3" t="inlineStr">
        <is>
          <t>Gouvernance</t>
        </is>
      </c>
      <c r="D2" s="3" t="inlineStr">
        <is>
          <t>R1, R7</t>
        </is>
      </c>
      <c r="E2" s="3" t="inlineStr">
        <is>
          <t>RSSI</t>
        </is>
      </c>
      <c r="F2" s="3" t="inlineStr">
        <is>
          <t>+</t>
        </is>
      </c>
      <c r="G2" s="3" t="n">
        <v>6</v>
      </c>
      <c r="H2" s="3" t="inlineStr">
        <is>
          <t>P1</t>
        </is>
      </c>
      <c r="I2" s="3" t="inlineStr">
        <is>
          <t>En cours</t>
        </is>
      </c>
      <c r="J2" s="3" t="inlineStr">
        <is>
          <t>6.3</t>
        </is>
      </c>
    </row>
    <row r="3">
      <c r="A3" s="3" t="inlineStr">
        <is>
          <t>M02</t>
        </is>
      </c>
      <c r="B3" s="3" t="inlineStr">
        <is>
          <t>Audit de sécurité technique et organisationnel de l'ensemble du SI par un prestataire qualifié</t>
        </is>
      </c>
      <c r="C3" s="3" t="inlineStr">
        <is>
          <t>Gouvernance</t>
        </is>
      </c>
      <c r="D3" s="3" t="inlineStr">
        <is>
          <t>R1, R5, R6, R7</t>
        </is>
      </c>
      <c r="E3" s="3" t="inlineStr">
        <is>
          <t>RSSI</t>
        </is>
      </c>
      <c r="F3" s="3" t="inlineStr">
        <is>
          <t>++</t>
        </is>
      </c>
      <c r="G3" s="3" t="n">
        <v>3</v>
      </c>
      <c r="H3" s="3" t="inlineStr">
        <is>
          <t>P1</t>
        </is>
      </c>
      <c r="I3" s="3" t="inlineStr">
        <is>
          <t>À lancer</t>
        </is>
      </c>
      <c r="J3" s="3" t="inlineStr">
        <is>
          <t>5.35, 8.8, 8.34</t>
        </is>
      </c>
    </row>
    <row r="4">
      <c r="A4" s="3" t="inlineStr">
        <is>
          <t>M03</t>
        </is>
      </c>
      <c r="B4" s="3" t="inlineStr">
        <is>
          <t>Clause de garantie d'un niveau de sécurité satisfaisant dans les contrats avec les prestataires</t>
        </is>
      </c>
      <c r="C4" s="3" t="inlineStr">
        <is>
          <t>Gouvernance</t>
        </is>
      </c>
      <c r="D4" s="3" t="inlineStr">
        <is>
          <t>R2, R3, R4, R6</t>
        </is>
      </c>
      <c r="E4" s="3" t="inlineStr">
        <is>
          <t>Équipe juridique</t>
        </is>
      </c>
      <c r="F4" s="3" t="inlineStr">
        <is>
          <t>++</t>
        </is>
      </c>
      <c r="G4" s="3" t="n">
        <v>18</v>
      </c>
      <c r="H4" s="3" t="inlineStr">
        <is>
          <t>P1</t>
        </is>
      </c>
      <c r="I4" s="3" t="inlineStr">
        <is>
          <t>En cours</t>
        </is>
      </c>
      <c r="J4" s="3" t="inlineStr">
        <is>
          <t>5.19, 5.20</t>
        </is>
      </c>
    </row>
    <row r="5">
      <c r="A5" s="3" t="inlineStr">
        <is>
          <t>M04</t>
        </is>
      </c>
      <c r="B5" s="3" t="inlineStr">
        <is>
          <t>Procédure de signalement de tout incident de sécurité survenu chez un prestataire</t>
        </is>
      </c>
      <c r="C5" s="3" t="inlineStr">
        <is>
          <t>Gouvernance</t>
        </is>
      </c>
      <c r="D5" s="3" t="inlineStr">
        <is>
          <t>R2, R3, R4, R6</t>
        </is>
      </c>
      <c r="E5" s="3" t="inlineStr">
        <is>
          <t>RSSI / Équipe juridique</t>
        </is>
      </c>
      <c r="F5" s="3" t="inlineStr">
        <is>
          <t>++</t>
        </is>
      </c>
      <c r="G5" s="3" t="n">
        <v>6</v>
      </c>
      <c r="H5" s="3" t="inlineStr">
        <is>
          <t>P2</t>
        </is>
      </c>
      <c r="I5" s="3" t="inlineStr">
        <is>
          <t>À lancer</t>
        </is>
      </c>
      <c r="J5" s="3" t="inlineStr">
        <is>
          <t>5.20, 5.22, 5.24, 5.26</t>
        </is>
      </c>
    </row>
    <row r="6">
      <c r="A6" s="3" t="inlineStr">
        <is>
          <t>M05</t>
        </is>
      </c>
      <c r="B6" s="3" t="inlineStr">
        <is>
          <t>Audit de sécurité organisationnel des prestataires clés, suivi des plans d'action</t>
        </is>
      </c>
      <c r="C6" s="3" t="inlineStr">
        <is>
          <t>Gouvernance</t>
        </is>
      </c>
      <c r="D6" s="3" t="inlineStr">
        <is>
          <t>R2, R3, R4, R6</t>
        </is>
      </c>
      <c r="E6" s="3" t="inlineStr">
        <is>
          <t>RSSI</t>
        </is>
      </c>
      <c r="F6" s="3" t="inlineStr">
        <is>
          <t>++</t>
        </is>
      </c>
      <c r="G6" s="3" t="n">
        <v>6</v>
      </c>
      <c r="H6" s="3" t="inlineStr">
        <is>
          <t>P1</t>
        </is>
      </c>
      <c r="I6" s="3" t="inlineStr">
        <is>
          <t>À lancer</t>
        </is>
      </c>
      <c r="J6" s="3" t="inlineStr">
        <is>
          <t>5.22, 5.35</t>
        </is>
      </c>
    </row>
    <row r="7">
      <c r="A7" s="3" t="inlineStr">
        <is>
          <t>M06</t>
        </is>
      </c>
      <c r="B7" s="3" t="inlineStr">
        <is>
          <t>Limitation des données transmises à la banque partenaire au juste besoin</t>
        </is>
      </c>
      <c r="C7" s="3" t="inlineStr">
        <is>
          <t>Gouvernance</t>
        </is>
      </c>
      <c r="D7" s="3" t="inlineStr">
        <is>
          <t>R2</t>
        </is>
      </c>
      <c r="E7" s="3" t="inlineStr">
        <is>
          <t>Équipe produit</t>
        </is>
      </c>
      <c r="F7" s="3" t="inlineStr">
        <is>
          <t>+</t>
        </is>
      </c>
      <c r="G7" s="3" t="n">
        <v>3</v>
      </c>
      <c r="H7" s="3" t="inlineStr">
        <is>
          <t>P2</t>
        </is>
      </c>
      <c r="I7" s="3" t="inlineStr">
        <is>
          <t>Terminé</t>
        </is>
      </c>
      <c r="J7" s="3" t="inlineStr">
        <is>
          <t>5.12, 5.14, 8.3</t>
        </is>
      </c>
    </row>
    <row r="8">
      <c r="A8" s="3" t="inlineStr">
        <is>
          <t>M07</t>
        </is>
      </c>
      <c r="B8" s="3" t="inlineStr">
        <is>
          <t>Protection renforcée des données clients (chiffrement, cloisonnement)</t>
        </is>
      </c>
      <c r="C8" s="3" t="inlineStr">
        <is>
          <t>Protection</t>
        </is>
      </c>
      <c r="D8" s="3" t="inlineStr">
        <is>
          <t>R1, R3, R6, R7</t>
        </is>
      </c>
      <c r="E8" s="3" t="inlineStr">
        <is>
          <t>DSI</t>
        </is>
      </c>
      <c r="F8" s="3" t="inlineStr">
        <is>
          <t>+++</t>
        </is>
      </c>
      <c r="G8" s="3" t="n">
        <v>9</v>
      </c>
      <c r="H8" s="3" t="inlineStr">
        <is>
          <t>P1</t>
        </is>
      </c>
      <c r="I8" s="3" t="inlineStr">
        <is>
          <t>En cours</t>
        </is>
      </c>
      <c r="J8" s="3" t="inlineStr">
        <is>
          <t>8.3, 8.12, 8.22, 8.24</t>
        </is>
      </c>
    </row>
    <row r="9">
      <c r="A9" s="3" t="inlineStr">
        <is>
          <t>M08</t>
        </is>
      </c>
      <c r="B9" s="3" t="inlineStr">
        <is>
          <t>Renforcement du contrôle d'accès physique aux locaux techniques</t>
        </is>
      </c>
      <c r="C9" s="3" t="inlineStr">
        <is>
          <t>Protection</t>
        </is>
      </c>
      <c r="D9" s="3" t="inlineStr">
        <is>
          <t>R1</t>
        </is>
      </c>
      <c r="E9" s="3" t="inlineStr">
        <is>
          <t>Équipe sûreté</t>
        </is>
      </c>
      <c r="F9" s="3" t="inlineStr">
        <is>
          <t>++</t>
        </is>
      </c>
      <c r="G9" s="3" t="n">
        <v>3</v>
      </c>
      <c r="H9" s="3" t="inlineStr">
        <is>
          <t>P3</t>
        </is>
      </c>
      <c r="I9" s="3" t="inlineStr">
        <is>
          <t>Terminé</t>
        </is>
      </c>
      <c r="J9" s="3" t="inlineStr">
        <is>
          <t>7.1, 7.2, 7.3</t>
        </is>
      </c>
    </row>
    <row r="10">
      <c r="A10" s="3" t="inlineStr">
        <is>
          <t>M09</t>
        </is>
      </c>
      <c r="B10" s="3" t="inlineStr">
        <is>
          <t>Renforcement de la sécurité de la plateforme transactionnelle</t>
        </is>
      </c>
      <c r="C10" s="3" t="inlineStr">
        <is>
          <t>Protection</t>
        </is>
      </c>
      <c r="D10" s="3" t="inlineStr">
        <is>
          <t>R4, R5, R6, R7</t>
        </is>
      </c>
      <c r="E10" s="3" t="inlineStr">
        <is>
          <t>RSSI / DSI</t>
        </is>
      </c>
      <c r="F10" s="3" t="inlineStr">
        <is>
          <t>+++</t>
        </is>
      </c>
      <c r="G10" s="3" t="n">
        <v>12</v>
      </c>
      <c r="H10" s="3" t="inlineStr">
        <is>
          <t>P2</t>
        </is>
      </c>
      <c r="I10" s="3" t="inlineStr">
        <is>
          <t>À lancer</t>
        </is>
      </c>
      <c r="J10" s="3" t="inlineStr">
        <is>
          <t>7.13, 8.8, 8.9, 8.22</t>
        </is>
      </c>
    </row>
    <row r="11">
      <c r="A11" s="3" t="inlineStr">
        <is>
          <t>M10</t>
        </is>
      </c>
      <c r="B11" s="3" t="inlineStr">
        <is>
          <t>Chiffrement des échanges de données avec la banque partenaire</t>
        </is>
      </c>
      <c r="C11" s="3" t="inlineStr">
        <is>
          <t>Protection</t>
        </is>
      </c>
      <c r="D11" s="3" t="inlineStr">
        <is>
          <t>R2</t>
        </is>
      </c>
      <c r="E11" s="3" t="inlineStr">
        <is>
          <t>DSI</t>
        </is>
      </c>
      <c r="F11" s="3" t="inlineStr">
        <is>
          <t>+++</t>
        </is>
      </c>
      <c r="G11" s="3" t="n">
        <v>9</v>
      </c>
      <c r="H11" s="3" t="inlineStr">
        <is>
          <t>P2</t>
        </is>
      </c>
      <c r="I11" s="3" t="inlineStr">
        <is>
          <t>À lancer</t>
        </is>
      </c>
      <c r="J11" s="3" t="inlineStr">
        <is>
          <t>5.14, 8.21, 8.24</t>
        </is>
      </c>
    </row>
    <row r="12">
      <c r="A12" s="3" t="inlineStr">
        <is>
          <t>M11</t>
        </is>
      </c>
      <c r="B12" s="3" t="inlineStr">
        <is>
          <t>Surveillance renforcée des flux et analyse des journaux (SIEM)</t>
        </is>
      </c>
      <c r="C12" s="3" t="inlineStr">
        <is>
          <t>Défense</t>
        </is>
      </c>
      <c r="D12" s="3" t="inlineStr">
        <is>
          <t>R1, R3, R6, R7</t>
        </is>
      </c>
      <c r="E12" s="3" t="inlineStr">
        <is>
          <t>DSI</t>
        </is>
      </c>
      <c r="F12" s="3" t="inlineStr">
        <is>
          <t>++</t>
        </is>
      </c>
      <c r="G12" s="3" t="n">
        <v>9</v>
      </c>
      <c r="H12" s="3" t="inlineStr">
        <is>
          <t>P2</t>
        </is>
      </c>
      <c r="I12" s="3" t="inlineStr">
        <is>
          <t>À lancer</t>
        </is>
      </c>
      <c r="J12" s="3" t="inlineStr">
        <is>
          <t>8.15, 8.16, 8.17</t>
        </is>
      </c>
    </row>
    <row r="13">
      <c r="A13" s="3" t="inlineStr">
        <is>
          <t>M12</t>
        </is>
      </c>
      <c r="B13" s="3" t="inlineStr">
        <is>
          <t>Renforcement du plan de continuité d'activité</t>
        </is>
      </c>
      <c r="C13" s="3" t="inlineStr">
        <is>
          <t>Résilience</t>
        </is>
      </c>
      <c r="D13" s="3" t="inlineStr">
        <is>
          <t>R4, R5, R6, R7</t>
        </is>
      </c>
      <c r="E13" s="3" t="inlineStr">
        <is>
          <t>Équipe continuité</t>
        </is>
      </c>
      <c r="F13" s="3" t="inlineStr">
        <is>
          <t>++</t>
        </is>
      </c>
      <c r="G13" s="3" t="n">
        <v>6</v>
      </c>
      <c r="H13" s="3" t="inlineStr">
        <is>
          <t>P2</t>
        </is>
      </c>
      <c r="I13" s="3" t="inlineStr">
        <is>
          <t>En cours</t>
        </is>
      </c>
      <c r="J13" s="3" t="inlineStr">
        <is>
          <t>5.29, 5.30, 8.14</t>
        </is>
      </c>
    </row>
    <row r="14">
      <c r="A14" s="3" t="inlineStr">
        <is>
          <t>M13</t>
        </is>
      </c>
      <c r="B14" s="3" t="inlineStr">
        <is>
          <t>Accès de maintenance de l'éditeur du cœur bancaire, encadrés et supervisés par la DSI</t>
        </is>
      </c>
      <c r="C14" s="3" t="inlineStr">
        <is>
          <t>Protection</t>
        </is>
      </c>
      <c r="D14" s="3" t="inlineStr">
        <is>
          <t>R4</t>
        </is>
      </c>
      <c r="E14" s="3" t="inlineStr">
        <is>
          <t>DSI</t>
        </is>
      </c>
      <c r="F14" s="3" t="inlineStr">
        <is>
          <t>++</t>
        </is>
      </c>
      <c r="G14" s="3" t="n">
        <v>9</v>
      </c>
      <c r="H14" s="3" t="inlineStr">
        <is>
          <t>P2</t>
        </is>
      </c>
      <c r="I14" s="3" t="inlineStr">
        <is>
          <t>À lancer</t>
        </is>
      </c>
      <c r="J14" s="3" t="inlineStr">
        <is>
          <t>5.21, 8.1, 8.19</t>
        </is>
      </c>
    </row>
    <row r="15">
      <c r="A15" s="3" t="inlineStr">
        <is>
          <t>N01</t>
        </is>
      </c>
      <c r="B15" s="3" t="inlineStr">
        <is>
          <t>Cloisonnement des réseaux : bureautique, plateforme transactionnelle, reporting, administration, invités</t>
        </is>
      </c>
      <c r="C15" s="3" t="inlineStr">
        <is>
          <t>Protection</t>
        </is>
      </c>
      <c r="D15" s="3" t="inlineStr">
        <is>
          <t>R1, R6, R7</t>
        </is>
      </c>
      <c r="E15" s="3" t="inlineStr">
        <is>
          <t>DSI</t>
        </is>
      </c>
      <c r="F15" s="3" t="inlineStr">
        <is>
          <t>+++</t>
        </is>
      </c>
      <c r="G15" s="3" t="n">
        <v>12</v>
      </c>
      <c r="H15" s="3" t="inlineStr">
        <is>
          <t>P1</t>
        </is>
      </c>
      <c r="I15" s="3" t="inlineStr">
        <is>
          <t>À lancer</t>
        </is>
      </c>
      <c r="J15" s="3" t="inlineStr">
        <is>
          <t>8.20, 8.22</t>
        </is>
      </c>
    </row>
    <row r="16">
      <c r="A16" s="3" t="inlineStr">
        <is>
          <t>N02</t>
        </is>
      </c>
      <c r="B16" s="3" t="inlineStr">
        <is>
          <t>Politique de mise à jour et de gestion des correctifs</t>
        </is>
      </c>
      <c r="C16" s="3" t="inlineStr">
        <is>
          <t>Protection</t>
        </is>
      </c>
      <c r="D16" s="3" t="inlineStr">
        <is>
          <t>R1, R6, R7</t>
        </is>
      </c>
      <c r="E16" s="3" t="inlineStr">
        <is>
          <t>DSI</t>
        </is>
      </c>
      <c r="F16" s="3" t="inlineStr">
        <is>
          <t>++</t>
        </is>
      </c>
      <c r="G16" s="3" t="n">
        <v>6</v>
      </c>
      <c r="H16" s="3" t="inlineStr">
        <is>
          <t>P1</t>
        </is>
      </c>
      <c r="I16" s="3" t="inlineStr">
        <is>
          <t>À lancer</t>
        </is>
      </c>
      <c r="J16" s="3" t="inlineStr">
        <is>
          <t>8.8, 8.19</t>
        </is>
      </c>
    </row>
    <row r="17">
      <c r="A17" s="3" t="inlineStr">
        <is>
          <t>N03</t>
        </is>
      </c>
      <c r="B17" s="3" t="inlineStr">
        <is>
          <t>Blocage par défaut des supports amovibles et des ports USB, dérogations validées</t>
        </is>
      </c>
      <c r="C17" s="3" t="inlineStr">
        <is>
          <t>Protection</t>
        </is>
      </c>
      <c r="D17" s="3" t="inlineStr">
        <is>
          <t>R1, R7</t>
        </is>
      </c>
      <c r="E17" s="3" t="inlineStr">
        <is>
          <t>DSI</t>
        </is>
      </c>
      <c r="F17" s="3" t="inlineStr">
        <is>
          <t>+</t>
        </is>
      </c>
      <c r="G17" s="3" t="n">
        <v>3</v>
      </c>
      <c r="H17" s="3" t="inlineStr">
        <is>
          <t>P1</t>
        </is>
      </c>
      <c r="I17" s="3" t="inlineStr">
        <is>
          <t>À lancer</t>
        </is>
      </c>
      <c r="J17" s="3" t="inlineStr">
        <is>
          <t>7.10</t>
        </is>
      </c>
    </row>
    <row r="18">
      <c r="A18" s="3" t="inlineStr">
        <is>
          <t>N04</t>
        </is>
      </c>
      <c r="B18" s="3" t="inlineStr">
        <is>
          <t>Authentification forte pour les administrateurs, accès distants et prestataires</t>
        </is>
      </c>
      <c r="C18" s="3" t="inlineStr">
        <is>
          <t>Protection</t>
        </is>
      </c>
      <c r="D18" s="3" t="inlineStr">
        <is>
          <t>R3, R6, R7</t>
        </is>
      </c>
      <c r="E18" s="3" t="inlineStr">
        <is>
          <t>RSSI</t>
        </is>
      </c>
      <c r="F18" s="3" t="inlineStr">
        <is>
          <t>++</t>
        </is>
      </c>
      <c r="G18" s="3" t="n">
        <v>4</v>
      </c>
      <c r="H18" s="3" t="inlineStr">
        <is>
          <t>P1</t>
        </is>
      </c>
      <c r="I18" s="3" t="inlineStr">
        <is>
          <t>À lancer</t>
        </is>
      </c>
      <c r="J18" s="3" t="inlineStr">
        <is>
          <t>5.16, 5.17, 8.2, 8.5</t>
        </is>
      </c>
    </row>
    <row r="19">
      <c r="A19" s="3" t="inlineStr">
        <is>
          <t>N05</t>
        </is>
      </c>
      <c r="B19" s="3" t="inlineStr">
        <is>
          <t>Encadrement des accès du centre technique : moindre privilège, sessions enregistrées et limitées dans le temps</t>
        </is>
      </c>
      <c r="C19" s="3" t="inlineStr">
        <is>
          <t>Protection</t>
        </is>
      </c>
      <c r="D19" s="3" t="inlineStr">
        <is>
          <t>R3, R6</t>
        </is>
      </c>
      <c r="E19" s="3" t="inlineStr">
        <is>
          <t>DSI</t>
        </is>
      </c>
      <c r="F19" s="3" t="inlineStr">
        <is>
          <t>++</t>
        </is>
      </c>
      <c r="G19" s="3" t="n">
        <v>6</v>
      </c>
      <c r="H19" s="3" t="inlineStr">
        <is>
          <t>P1</t>
        </is>
      </c>
      <c r="I19" s="3" t="inlineStr">
        <is>
          <t>À lancer</t>
        </is>
      </c>
      <c r="J19" s="3" t="inlineStr">
        <is>
          <t>5.3, 5.15, 5.18, 8.2, 5.19</t>
        </is>
      </c>
    </row>
    <row r="20">
      <c r="A20" s="3" t="inlineStr">
        <is>
          <t>N06</t>
        </is>
      </c>
      <c r="B20" s="3" t="inlineStr">
        <is>
          <t>Politique de sauvegarde avec copies hors ligne et tests de restauration réguliers</t>
        </is>
      </c>
      <c r="C20" s="3" t="inlineStr">
        <is>
          <t>Résilience</t>
        </is>
      </c>
      <c r="D20" s="3" t="inlineStr">
        <is>
          <t>R4, R6, R7</t>
        </is>
      </c>
      <c r="E20" s="3" t="inlineStr">
        <is>
          <t>DSI</t>
        </is>
      </c>
      <c r="F20" s="3" t="inlineStr">
        <is>
          <t>++</t>
        </is>
      </c>
      <c r="G20" s="3" t="n">
        <v>6</v>
      </c>
      <c r="H20" s="3" t="inlineStr">
        <is>
          <t>P1</t>
        </is>
      </c>
      <c r="I20" s="3" t="inlineStr">
        <is>
          <t>À lancer</t>
        </is>
      </c>
      <c r="J20" s="3" t="inlineStr">
        <is>
          <t>5.30, 8.13</t>
        </is>
      </c>
    </row>
    <row r="21">
      <c r="A21" s="3" t="inlineStr">
        <is>
          <t>N07</t>
        </is>
      </c>
      <c r="B21" s="3" t="inlineStr">
        <is>
          <t>Protection des postes et terminaux : gestion centralisée, chiffrement, filtrage, droits limités</t>
        </is>
      </c>
      <c r="C21" s="3" t="inlineStr">
        <is>
          <t>Protection</t>
        </is>
      </c>
      <c r="D21" s="3" t="inlineStr">
        <is>
          <t>R1, R6, R7</t>
        </is>
      </c>
      <c r="E21" s="3" t="inlineStr">
        <is>
          <t>DSI</t>
        </is>
      </c>
      <c r="F21" s="3" t="inlineStr">
        <is>
          <t>+++</t>
        </is>
      </c>
      <c r="G21" s="3" t="n">
        <v>9</v>
      </c>
      <c r="H21" s="3" t="inlineStr">
        <is>
          <t>P1</t>
        </is>
      </c>
      <c r="I21" s="3" t="inlineStr">
        <is>
          <t>À lancer</t>
        </is>
      </c>
      <c r="J21" s="3" t="inlineStr">
        <is>
          <t>7.9, 8.1, 8.7, 8.9, 8.18, 8.23, 8.24</t>
        </is>
      </c>
    </row>
    <row r="22">
      <c r="A22" s="3" t="inlineStr">
        <is>
          <t>N08</t>
        </is>
      </c>
      <c r="B22" s="3" t="inlineStr">
        <is>
          <t>Procédure de gestion des incidents de sécurité et exercice de crise cyber annuel</t>
        </is>
      </c>
      <c r="C22" s="3" t="inlineStr">
        <is>
          <t>Défense</t>
        </is>
      </c>
      <c r="D22" s="3" t="inlineStr">
        <is>
          <t>R4, R6, R7</t>
        </is>
      </c>
      <c r="E22" s="3" t="inlineStr">
        <is>
          <t>RSSI</t>
        </is>
      </c>
      <c r="F22" s="3" t="inlineStr">
        <is>
          <t>+</t>
        </is>
      </c>
      <c r="G22" s="3" t="n">
        <v>6</v>
      </c>
      <c r="H22" s="3" t="inlineStr">
        <is>
          <t>P2</t>
        </is>
      </c>
      <c r="I22" s="3" t="inlineStr">
        <is>
          <t>À lancer</t>
        </is>
      </c>
      <c r="J22" s="3" t="inlineStr">
        <is>
          <t>5.24, 5.25, 5.26, 5.27, 5.28, 6.8</t>
        </is>
      </c>
    </row>
    <row r="23">
      <c r="A23" s="3" t="inlineStr">
        <is>
          <t>N09</t>
        </is>
      </c>
      <c r="B23" s="3" t="inlineStr">
        <is>
          <t>Gouvernance du SMSI : politique de sécurité, rôles, revue de direction, audit interne, indicateurs</t>
        </is>
      </c>
      <c r="C23" s="3" t="inlineStr">
        <is>
          <t>Gouvernance</t>
        </is>
      </c>
      <c r="D23" s="3" t="inlineStr">
        <is>
          <t>R1, R2, R3, R4, R5, R6, R7</t>
        </is>
      </c>
      <c r="E23" s="3" t="inlineStr">
        <is>
          <t>Direction générale</t>
        </is>
      </c>
      <c r="F23" s="3" t="inlineStr">
        <is>
          <t>++</t>
        </is>
      </c>
      <c r="G23" s="3" t="n">
        <v>6</v>
      </c>
      <c r="H23" s="3" t="inlineStr">
        <is>
          <t>P1</t>
        </is>
      </c>
      <c r="I23" s="3" t="inlineStr">
        <is>
          <t>À lancer</t>
        </is>
      </c>
      <c r="J23" s="3" t="inlineStr">
        <is>
          <t>5.1, 5.2, 5.4, 5.35, 5.36</t>
        </is>
      </c>
    </row>
    <row r="24">
      <c r="A24" s="3" t="inlineStr">
        <is>
          <t>N10</t>
        </is>
      </c>
      <c r="B24" s="3" t="inlineStr">
        <is>
          <t>Contrôle d'intégrité et double validation des transactions marchands</t>
        </is>
      </c>
      <c r="C24" s="3" t="inlineStr">
        <is>
          <t>Protection</t>
        </is>
      </c>
      <c r="D24" s="3" t="inlineStr">
        <is>
          <t>R5</t>
        </is>
      </c>
      <c r="E24" s="3" t="inlineStr">
        <is>
          <t>DSI produit</t>
        </is>
      </c>
      <c r="F24" s="3" t="inlineStr">
        <is>
          <t>++</t>
        </is>
      </c>
      <c r="G24" s="3" t="n">
        <v>9</v>
      </c>
      <c r="H24" s="3" t="inlineStr">
        <is>
          <t>P2</t>
        </is>
      </c>
      <c r="I24" s="3" t="inlineStr">
        <is>
          <t>À lancer</t>
        </is>
      </c>
      <c r="J24" s="3" t="inlineStr">
        <is>
          <t>8.3, 8.15, 8.24</t>
        </is>
      </c>
    </row>
    <row r="25">
      <c r="A25" s="3" t="inlineStr">
        <is>
          <t>N11</t>
        </is>
      </c>
      <c r="B25" s="3" t="inlineStr">
        <is>
          <t>Inventaire des actifs et comptes privilégiés, revue périodique des droits</t>
        </is>
      </c>
      <c r="C25" s="3" t="inlineStr">
        <is>
          <t>Gouvernance</t>
        </is>
      </c>
      <c r="D25" s="3" t="inlineStr">
        <is>
          <t>R3, R6</t>
        </is>
      </c>
      <c r="E25" s="3" t="inlineStr">
        <is>
          <t>DSI</t>
        </is>
      </c>
      <c r="F25" s="3" t="inlineStr">
        <is>
          <t>+</t>
        </is>
      </c>
      <c r="G25" s="3" t="n">
        <v>6</v>
      </c>
      <c r="H25" s="3" t="inlineStr">
        <is>
          <t>P1</t>
        </is>
      </c>
      <c r="I25" s="3" t="inlineStr">
        <is>
          <t>À lancer</t>
        </is>
      </c>
      <c r="J25" s="3" t="inlineStr">
        <is>
          <t>5.9, 5.11, 5.18, 6.5, 8.2</t>
        </is>
      </c>
    </row>
    <row r="26">
      <c r="A26" s="3" t="inlineStr">
        <is>
          <t>N12</t>
        </is>
      </c>
      <c r="B26" s="3" t="inlineStr">
        <is>
          <t>Programme de conformité ACPR / DSP2 / TRACFIN formalisé et suivi</t>
        </is>
      </c>
      <c r="C26" s="3" t="inlineStr">
        <is>
          <t>Gouvernance</t>
        </is>
      </c>
      <c r="D26" s="3" t="inlineStr">
        <is>
          <t>R4, R5</t>
        </is>
      </c>
      <c r="E26" s="3" t="inlineStr">
        <is>
          <t>RCCI</t>
        </is>
      </c>
      <c r="F26" s="3" t="inlineStr">
        <is>
          <t>++</t>
        </is>
      </c>
      <c r="G26" s="3" t="n">
        <v>9</v>
      </c>
      <c r="H26" s="3" t="inlineStr">
        <is>
          <t>P1</t>
        </is>
      </c>
      <c r="I26" s="3" t="inlineStr">
        <is>
          <t>À lancer</t>
        </is>
      </c>
      <c r="J26" s="3" t="inlineStr">
        <is>
          <t>5.31, 5.34</t>
        </is>
      </c>
    </row>
    <row r="27">
      <c r="A27" s="3" t="inlineStr">
        <is>
          <t>N13</t>
        </is>
      </c>
      <c r="B27" s="3" t="inlineStr">
        <is>
          <t>Surveillance antifraude en temps réel sur les transactions marchands</t>
        </is>
      </c>
      <c r="C27" s="3" t="inlineStr">
        <is>
          <t>Protection</t>
        </is>
      </c>
      <c r="D27" s="3" t="inlineStr">
        <is>
          <t>R4, R5</t>
        </is>
      </c>
      <c r="E27" s="3" t="inlineStr">
        <is>
          <t>DSI produit</t>
        </is>
      </c>
      <c r="F27" s="3" t="inlineStr">
        <is>
          <t>+++</t>
        </is>
      </c>
      <c r="G27" s="3" t="n">
        <v>12</v>
      </c>
      <c r="H27" s="3" t="inlineStr">
        <is>
          <t>P1</t>
        </is>
      </c>
      <c r="I27" s="3" t="inlineStr">
        <is>
          <t>À lancer</t>
        </is>
      </c>
      <c r="J27" s="3" t="inlineStr">
        <is>
          <t>8.16, 5.7</t>
        </is>
      </c>
    </row>
  </sheetData>
  <autoFilter ref="A1:J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10" customWidth="1" min="5" max="5"/>
    <col width="15" customWidth="1" min="6" max="6"/>
    <col width="80" customWidth="1" min="7" max="7"/>
    <col width="17" customWidth="1" min="8" max="8"/>
    <col width="10" customWidth="1" min="9" max="9"/>
  </cols>
  <sheetData>
    <row r="1">
      <c r="A1" s="2" t="inlineStr">
        <is>
          <t>N°</t>
        </is>
      </c>
      <c r="B1" s="2" t="inlineStr">
        <is>
          <t>Mesure</t>
        </is>
      </c>
      <c r="C1" s="2" t="inlineStr">
        <is>
          <t>Thème</t>
        </is>
      </c>
      <c r="D1" s="2" t="inlineStr">
        <is>
          <t>Applicable</t>
        </is>
      </c>
      <c r="E1" s="2" t="inlineStr">
        <is>
          <t>Statut</t>
        </is>
      </c>
      <c r="F1" s="2" t="inlineStr">
        <is>
          <t>Base du choix</t>
        </is>
      </c>
      <c r="G1" s="2" t="inlineStr">
        <is>
          <t>Justification</t>
        </is>
      </c>
      <c r="H1" s="2" t="inlineStr">
        <is>
          <t>Mesures du plan</t>
        </is>
      </c>
      <c r="I1" s="2" t="inlineStr">
        <is>
          <t>Risques</t>
        </is>
      </c>
    </row>
    <row r="2">
      <c r="A2" s="3" t="inlineStr">
        <is>
          <t>5.1</t>
        </is>
      </c>
      <c r="B2" s="3" t="inlineStr">
        <is>
          <t>Politiques de sécurité de l'information</t>
        </is>
      </c>
      <c r="C2" s="3" t="inlineStr">
        <is>
          <t>organisationnel</t>
        </is>
      </c>
      <c r="D2" s="3" t="inlineStr">
        <is>
          <t>Oui</t>
        </is>
      </c>
      <c r="E2" s="3" t="inlineStr">
        <is>
          <t>À mettre en œuvre</t>
        </is>
      </c>
      <c r="F2" s="3" t="inlineStr">
        <is>
          <t>risque</t>
        </is>
      </c>
      <c r="G2" s="3" t="inlineStr">
        <is>
          <t xml:space="preserve">Retenue pour traiter R1, R2, R3, R4, R5, R6, R7. </t>
        </is>
      </c>
      <c r="H2" s="3" t="inlineStr">
        <is>
          <t>N09</t>
        </is>
      </c>
      <c r="I2" s="3" t="inlineStr">
        <is>
          <t>R1, R2, R3, R4, R5, R6, R7</t>
        </is>
      </c>
    </row>
    <row r="3">
      <c r="A3" s="3" t="inlineStr">
        <is>
          <t>5.2</t>
        </is>
      </c>
      <c r="B3" s="3" t="inlineStr">
        <is>
          <t>Fonctions et responsabilités liées à la sécurité de l'information</t>
        </is>
      </c>
      <c r="C3" s="3" t="inlineStr">
        <is>
          <t>organisationnel</t>
        </is>
      </c>
      <c r="D3" s="3" t="inlineStr">
        <is>
          <t>Oui</t>
        </is>
      </c>
      <c r="E3" s="3" t="inlineStr">
        <is>
          <t>À mettre en œuvre</t>
        </is>
      </c>
      <c r="F3" s="3" t="inlineStr">
        <is>
          <t>risque, socle</t>
        </is>
      </c>
      <c r="G3" s="3" t="inlineStr">
        <is>
          <t>Retenue pour traiter R1, R2, R3, R4, R5, R6, R7. Corrige l'écart aux règles 39 du socle.</t>
        </is>
      </c>
      <c r="H3" s="3" t="inlineStr">
        <is>
          <t>N09</t>
        </is>
      </c>
      <c r="I3" s="3" t="inlineStr">
        <is>
          <t>R1, R2, R3, R4, R5, R6, R7</t>
        </is>
      </c>
    </row>
    <row r="4">
      <c r="A4" s="3" t="inlineStr">
        <is>
          <t>5.3</t>
        </is>
      </c>
      <c r="B4" s="3" t="inlineStr">
        <is>
          <t>Séparation des tâches</t>
        </is>
      </c>
      <c r="C4" s="3" t="inlineStr">
        <is>
          <t>organisationnel</t>
        </is>
      </c>
      <c r="D4" s="3" t="inlineStr">
        <is>
          <t>Oui</t>
        </is>
      </c>
      <c r="E4" s="3" t="inlineStr">
        <is>
          <t>À mettre en œuvre</t>
        </is>
      </c>
      <c r="F4" s="3" t="inlineStr">
        <is>
          <t>risque</t>
        </is>
      </c>
      <c r="G4" s="3" t="inlineStr">
        <is>
          <t xml:space="preserve">Retenue pour traiter R3, R6. </t>
        </is>
      </c>
      <c r="H4" s="3" t="inlineStr">
        <is>
          <t>N05</t>
        </is>
      </c>
      <c r="I4" s="3" t="inlineStr">
        <is>
          <t>R3, R6</t>
        </is>
      </c>
    </row>
    <row r="5">
      <c r="A5" s="3" t="inlineStr">
        <is>
          <t>5.4</t>
        </is>
      </c>
      <c r="B5" s="3" t="inlineStr">
        <is>
          <t>Responsabilités de la direction</t>
        </is>
      </c>
      <c r="C5" s="3" t="inlineStr">
        <is>
          <t>organisationnel</t>
        </is>
      </c>
      <c r="D5" s="3" t="inlineStr">
        <is>
          <t>Oui</t>
        </is>
      </c>
      <c r="E5" s="3" t="inlineStr">
        <is>
          <t>À mettre en œuvre</t>
        </is>
      </c>
      <c r="F5" s="3" t="inlineStr">
        <is>
          <t>risque</t>
        </is>
      </c>
      <c r="G5" s="3" t="inlineStr">
        <is>
          <t xml:space="preserve">Retenue pour traiter R1, R2, R3, R4, R5, R6, R7. </t>
        </is>
      </c>
      <c r="H5" s="3" t="inlineStr">
        <is>
          <t>N09</t>
        </is>
      </c>
      <c r="I5" s="3" t="inlineStr">
        <is>
          <t>R1, R2, R3, R4, R5, R6, R7</t>
        </is>
      </c>
    </row>
    <row r="6">
      <c r="A6" s="3" t="inlineStr">
        <is>
          <t>5.5</t>
        </is>
      </c>
      <c r="B6" s="3" t="inlineStr">
        <is>
          <t>Contacts avec les autorités</t>
        </is>
      </c>
      <c r="C6" s="3" t="inlineStr">
        <is>
          <t>organisationnel</t>
        </is>
      </c>
      <c r="D6" s="3" t="inlineStr">
        <is>
          <t>Oui</t>
        </is>
      </c>
      <c r="E6" s="3" t="inlineStr">
        <is>
          <t>À mettre en œuvre</t>
        </is>
      </c>
      <c r="F6" s="3" t="inlineStr">
        <is>
          <t>légal</t>
        </is>
      </c>
      <c r="G6" s="3" t="inlineStr">
        <is>
          <t>Établir les contacts pour notifier un incident : ACPR, CNIL, CERT-FR.</t>
        </is>
      </c>
      <c r="H6" s="3" t="inlineStr"/>
      <c r="I6" s="3" t="inlineStr"/>
    </row>
    <row r="7">
      <c r="A7" s="3" t="inlineStr">
        <is>
          <t>5.6</t>
        </is>
      </c>
      <c r="B7" s="3" t="inlineStr">
        <is>
          <t>Contacts avec des groupes de spécialistes</t>
        </is>
      </c>
      <c r="C7" s="3" t="inlineStr">
        <is>
          <t>organisationnel</t>
        </is>
      </c>
      <c r="D7" s="3" t="inlineStr">
        <is>
          <t>Oui</t>
        </is>
      </c>
      <c r="E7" s="3" t="inlineStr">
        <is>
          <t>À mettre en œuvre</t>
        </is>
      </c>
      <c r="F7" s="3" t="inlineStr">
        <is>
          <t>bonne pratique</t>
        </is>
      </c>
      <c r="G7" s="3" t="inlineStr">
        <is>
          <t>Rejoindre une communauté de veille du secteur des paiements.</t>
        </is>
      </c>
      <c r="H7" s="3" t="inlineStr"/>
      <c r="I7" s="3" t="inlineStr"/>
    </row>
    <row r="8">
      <c r="A8" s="3" t="inlineStr">
        <is>
          <t>5.7</t>
        </is>
      </c>
      <c r="B8" s="3" t="inlineStr">
        <is>
          <t>Renseignement sur les menaces</t>
        </is>
      </c>
      <c r="C8" s="3" t="inlineStr">
        <is>
          <t>organisationnel</t>
        </is>
      </c>
      <c r="D8" s="3" t="inlineStr">
        <is>
          <t>Oui</t>
        </is>
      </c>
      <c r="E8" s="3" t="inlineStr">
        <is>
          <t>À mettre en œuvre</t>
        </is>
      </c>
      <c r="F8" s="3" t="inlineStr">
        <is>
          <t>bonne pratique</t>
        </is>
      </c>
      <c r="G8" s="3" t="inlineStr">
        <is>
          <t>Veille sur la menace cybercriminelle et la fraude organisée.</t>
        </is>
      </c>
      <c r="H8" s="3" t="inlineStr">
        <is>
          <t>N13</t>
        </is>
      </c>
      <c r="I8" s="3" t="inlineStr">
        <is>
          <t>R4, R5</t>
        </is>
      </c>
    </row>
    <row r="9">
      <c r="A9" s="3" t="inlineStr">
        <is>
          <t>5.8</t>
        </is>
      </c>
      <c r="B9" s="3" t="inlineStr">
        <is>
          <t>Sécurité de l'information dans la gestion de projet</t>
        </is>
      </c>
      <c r="C9" s="3" t="inlineStr">
        <is>
          <t>organisationnel</t>
        </is>
      </c>
      <c r="D9" s="3" t="inlineStr">
        <is>
          <t>Oui</t>
        </is>
      </c>
      <c r="E9" s="3" t="inlineStr">
        <is>
          <t>À mettre en œuvre</t>
        </is>
      </c>
      <c r="F9" s="3" t="inlineStr">
        <is>
          <t>bonne pratique</t>
        </is>
      </c>
      <c r="G9" s="3" t="inlineStr">
        <is>
          <t>Intégrer la sécurité dans les projets, dont la modernisation de la plateforme transactionnelle.</t>
        </is>
      </c>
      <c r="H9" s="3" t="inlineStr"/>
      <c r="I9" s="3" t="inlineStr"/>
    </row>
    <row r="10">
      <c r="A10" s="3" t="inlineStr">
        <is>
          <t>5.9</t>
        </is>
      </c>
      <c r="B10" s="3" t="inlineStr">
        <is>
          <t>Inventaire des informations et des autres actifs</t>
        </is>
      </c>
      <c r="C10" s="3" t="inlineStr">
        <is>
          <t>organisationnel</t>
        </is>
      </c>
      <c r="D10" s="3" t="inlineStr">
        <is>
          <t>Oui</t>
        </is>
      </c>
      <c r="E10" s="3" t="inlineStr">
        <is>
          <t>Partielle</t>
        </is>
      </c>
      <c r="F10" s="3" t="inlineStr">
        <is>
          <t>risque, socle</t>
        </is>
      </c>
      <c r="G10" s="3" t="inlineStr">
        <is>
          <t>Retenue pour traiter R3, R6. Corrige l'écart aux règles 4, 7 du socle.</t>
        </is>
      </c>
      <c r="H10" s="3" t="inlineStr">
        <is>
          <t>N11</t>
        </is>
      </c>
      <c r="I10" s="3" t="inlineStr">
        <is>
          <t>R3, R6</t>
        </is>
      </c>
    </row>
    <row r="11">
      <c r="A11" s="3" t="inlineStr">
        <is>
          <t>5.10</t>
        </is>
      </c>
      <c r="B11" s="3" t="inlineStr">
        <is>
          <t>Utilisation correcte de l'information et des actifs</t>
        </is>
      </c>
      <c r="C11" s="3" t="inlineStr">
        <is>
          <t>organisationnel</t>
        </is>
      </c>
      <c r="D11" s="3" t="inlineStr">
        <is>
          <t>Oui</t>
        </is>
      </c>
      <c r="E11" s="3" t="inlineStr">
        <is>
          <t>Partielle</t>
        </is>
      </c>
      <c r="F11" s="3" t="inlineStr">
        <is>
          <t>socle</t>
        </is>
      </c>
      <c r="G11" s="3" t="inlineStr">
        <is>
          <t>Corrige l'écart aux règles 2 du socle.</t>
        </is>
      </c>
      <c r="H11" s="3" t="inlineStr"/>
      <c r="I11" s="3" t="inlineStr"/>
    </row>
    <row r="12">
      <c r="A12" s="3" t="inlineStr">
        <is>
          <t>5.11</t>
        </is>
      </c>
      <c r="B12" s="3" t="inlineStr">
        <is>
          <t>Restitution des actifs</t>
        </is>
      </c>
      <c r="C12" s="3" t="inlineStr">
        <is>
          <t>organisationnel</t>
        </is>
      </c>
      <c r="D12" s="3" t="inlineStr">
        <is>
          <t>Oui</t>
        </is>
      </c>
      <c r="E12" s="3" t="inlineStr">
        <is>
          <t>Partielle</t>
        </is>
      </c>
      <c r="F12" s="3" t="inlineStr">
        <is>
          <t>risque, socle</t>
        </is>
      </c>
      <c r="G12" s="3" t="inlineStr">
        <is>
          <t>Retenue pour traiter R3, R6. Corrige l'écart aux règles 6 du socle.</t>
        </is>
      </c>
      <c r="H12" s="3" t="inlineStr">
        <is>
          <t>N11</t>
        </is>
      </c>
      <c r="I12" s="3" t="inlineStr">
        <is>
          <t>R3, R6</t>
        </is>
      </c>
    </row>
    <row r="13">
      <c r="A13" s="3" t="inlineStr">
        <is>
          <t>5.12</t>
        </is>
      </c>
      <c r="B13" s="3" t="inlineStr">
        <is>
          <t>Classification de l'information</t>
        </is>
      </c>
      <c r="C13" s="3" t="inlineStr">
        <is>
          <t>organisationnel</t>
        </is>
      </c>
      <c r="D13" s="3" t="inlineStr">
        <is>
          <t>Oui</t>
        </is>
      </c>
      <c r="E13" s="3" t="inlineStr">
        <is>
          <t>Partielle</t>
        </is>
      </c>
      <c r="F13" s="3" t="inlineStr">
        <is>
          <t>risque, socle</t>
        </is>
      </c>
      <c r="G13" s="3" t="inlineStr">
        <is>
          <t>Retenue pour traiter R2. Corrige l'écart aux règles 4 du socle.</t>
        </is>
      </c>
      <c r="H13" s="3" t="inlineStr">
        <is>
          <t>M06</t>
        </is>
      </c>
      <c r="I13" s="3" t="inlineStr">
        <is>
          <t>R2</t>
        </is>
      </c>
    </row>
    <row r="14">
      <c r="A14" s="3" t="inlineStr">
        <is>
          <t>5.13</t>
        </is>
      </c>
      <c r="B14" s="3" t="inlineStr">
        <is>
          <t>Marquage de l'information</t>
        </is>
      </c>
      <c r="C14" s="3" t="inlineStr">
        <is>
          <t>organisationnel</t>
        </is>
      </c>
      <c r="D14" s="3" t="inlineStr">
        <is>
          <t>Oui</t>
        </is>
      </c>
      <c r="E14" s="3" t="inlineStr">
        <is>
          <t>À mettre en œuvre</t>
        </is>
      </c>
      <c r="F14" s="3" t="inlineStr">
        <is>
          <t>bonne pratique</t>
        </is>
      </c>
      <c r="G14" s="3" t="inlineStr">
        <is>
          <t>Marquer les documents et données clients selon leur confidentialité.</t>
        </is>
      </c>
      <c r="H14" s="3" t="inlineStr"/>
      <c r="I14" s="3" t="inlineStr"/>
    </row>
    <row r="15">
      <c r="A15" s="3" t="inlineStr">
        <is>
          <t>5.14</t>
        </is>
      </c>
      <c r="B15" s="3" t="inlineStr">
        <is>
          <t>Transfert de l'information</t>
        </is>
      </c>
      <c r="C15" s="3" t="inlineStr">
        <is>
          <t>organisationnel</t>
        </is>
      </c>
      <c r="D15" s="3" t="inlineStr">
        <is>
          <t>Oui</t>
        </is>
      </c>
      <c r="E15" s="3" t="inlineStr">
        <is>
          <t>Partielle</t>
        </is>
      </c>
      <c r="F15" s="3" t="inlineStr">
        <is>
          <t>risque, socle</t>
        </is>
      </c>
      <c r="G15" s="3" t="inlineStr">
        <is>
          <t>Retenue pour traiter R2. Corrige l'écart aux règles 18, 24, 25 du socle.</t>
        </is>
      </c>
      <c r="H15" s="3" t="inlineStr">
        <is>
          <t>M06, M10</t>
        </is>
      </c>
      <c r="I15" s="3" t="inlineStr">
        <is>
          <t>R2</t>
        </is>
      </c>
    </row>
    <row r="16">
      <c r="A16" s="3" t="inlineStr">
        <is>
          <t>5.15</t>
        </is>
      </c>
      <c r="B16" s="3" t="inlineStr">
        <is>
          <t>Contrôle d'accès</t>
        </is>
      </c>
      <c r="C16" s="3" t="inlineStr">
        <is>
          <t>organisationnel</t>
        </is>
      </c>
      <c r="D16" s="3" t="inlineStr">
        <is>
          <t>Oui</t>
        </is>
      </c>
      <c r="E16" s="3" t="inlineStr">
        <is>
          <t>Partielle</t>
        </is>
      </c>
      <c r="F16" s="3" t="inlineStr">
        <is>
          <t>risque, socle</t>
        </is>
      </c>
      <c r="G16" s="3" t="inlineStr">
        <is>
          <t>Retenue pour traiter R3, R6. Corrige l'écart aux règles 8, 9 du socle.</t>
        </is>
      </c>
      <c r="H16" s="3" t="inlineStr">
        <is>
          <t>N05</t>
        </is>
      </c>
      <c r="I16" s="3" t="inlineStr">
        <is>
          <t>R3, R6</t>
        </is>
      </c>
    </row>
    <row r="17">
      <c r="A17" s="3" t="inlineStr">
        <is>
          <t>5.16</t>
        </is>
      </c>
      <c r="B17" s="3" t="inlineStr">
        <is>
          <t>Gestion des identités</t>
        </is>
      </c>
      <c r="C17" s="3" t="inlineStr">
        <is>
          <t>organisationnel</t>
        </is>
      </c>
      <c r="D17" s="3" t="inlineStr">
        <is>
          <t>Oui</t>
        </is>
      </c>
      <c r="E17" s="3" t="inlineStr">
        <is>
          <t>Partielle</t>
        </is>
      </c>
      <c r="F17" s="3" t="inlineStr">
        <is>
          <t>risque, socle</t>
        </is>
      </c>
      <c r="G17" s="3" t="inlineStr">
        <is>
          <t>Retenue pour traiter R3, R6, R7. Corrige l'écart aux règles 5, 8 du socle.</t>
        </is>
      </c>
      <c r="H17" s="3" t="inlineStr">
        <is>
          <t>N04</t>
        </is>
      </c>
      <c r="I17" s="3" t="inlineStr">
        <is>
          <t>R3, R6, R7</t>
        </is>
      </c>
    </row>
    <row r="18">
      <c r="A18" s="3" t="inlineStr">
        <is>
          <t>5.17</t>
        </is>
      </c>
      <c r="B18" s="3" t="inlineStr">
        <is>
          <t>Informations d'authentification</t>
        </is>
      </c>
      <c r="C18" s="3" t="inlineStr">
        <is>
          <t>organisationnel</t>
        </is>
      </c>
      <c r="D18" s="3" t="inlineStr">
        <is>
          <t>Oui</t>
        </is>
      </c>
      <c r="E18" s="3" t="inlineStr">
        <is>
          <t>Partielle</t>
        </is>
      </c>
      <c r="F18" s="3" t="inlineStr">
        <is>
          <t>risque, socle</t>
        </is>
      </c>
      <c r="G18" s="3" t="inlineStr">
        <is>
          <t>Retenue pour traiter R3, R6, R7. Corrige l'écart aux règles 10, 11, 12 du socle.</t>
        </is>
      </c>
      <c r="H18" s="3" t="inlineStr">
        <is>
          <t>N04</t>
        </is>
      </c>
      <c r="I18" s="3" t="inlineStr">
        <is>
          <t>R3, R6, R7</t>
        </is>
      </c>
    </row>
    <row r="19">
      <c r="A19" s="3" t="inlineStr">
        <is>
          <t>5.18</t>
        </is>
      </c>
      <c r="B19" s="3" t="inlineStr">
        <is>
          <t>Droits d'accès</t>
        </is>
      </c>
      <c r="C19" s="3" t="inlineStr">
        <is>
          <t>organisationnel</t>
        </is>
      </c>
      <c r="D19" s="3" t="inlineStr">
        <is>
          <t>Oui</t>
        </is>
      </c>
      <c r="E19" s="3" t="inlineStr">
        <is>
          <t>Partielle</t>
        </is>
      </c>
      <c r="F19" s="3" t="inlineStr">
        <is>
          <t>risque, socle</t>
        </is>
      </c>
      <c r="G19" s="3" t="inlineStr">
        <is>
          <t>Retenue pour traiter R3, R6. Corrige l'écart aux règles 5, 6, 9 du socle.</t>
        </is>
      </c>
      <c r="H19" s="3" t="inlineStr">
        <is>
          <t>N05, N11</t>
        </is>
      </c>
      <c r="I19" s="3" t="inlineStr">
        <is>
          <t>R3, R6</t>
        </is>
      </c>
    </row>
    <row r="20">
      <c r="A20" s="3" t="inlineStr">
        <is>
          <t>5.19</t>
        </is>
      </c>
      <c r="B20" s="3" t="inlineStr">
        <is>
          <t>Sécurité de l'information dans les relations avec les fournisseurs</t>
        </is>
      </c>
      <c r="C20" s="3" t="inlineStr">
        <is>
          <t>organisationnel</t>
        </is>
      </c>
      <c r="D20" s="3" t="inlineStr">
        <is>
          <t>Oui</t>
        </is>
      </c>
      <c r="E20" s="3" t="inlineStr">
        <is>
          <t>Partielle</t>
        </is>
      </c>
      <c r="F20" s="3" t="inlineStr">
        <is>
          <t>risque, socle</t>
        </is>
      </c>
      <c r="G20" s="3" t="inlineStr">
        <is>
          <t>Retenue pour traiter R2, R3, R4, R6. Corrige l'écart aux règles 3 du socle.</t>
        </is>
      </c>
      <c r="H20" s="3" t="inlineStr">
        <is>
          <t>M03, N05</t>
        </is>
      </c>
      <c r="I20" s="3" t="inlineStr">
        <is>
          <t>R2, R3, R4, R6</t>
        </is>
      </c>
    </row>
    <row r="21">
      <c r="A21" s="3" t="inlineStr">
        <is>
          <t>5.20</t>
        </is>
      </c>
      <c r="B21" s="3" t="inlineStr">
        <is>
          <t>Sécurité dans les accords avec les fournisseurs</t>
        </is>
      </c>
      <c r="C21" s="3" t="inlineStr">
        <is>
          <t>organisationnel</t>
        </is>
      </c>
      <c r="D21" s="3" t="inlineStr">
        <is>
          <t>Oui</t>
        </is>
      </c>
      <c r="E21" s="3" t="inlineStr">
        <is>
          <t>Partielle</t>
        </is>
      </c>
      <c r="F21" s="3" t="inlineStr">
        <is>
          <t>risque, socle</t>
        </is>
      </c>
      <c r="G21" s="3" t="inlineStr">
        <is>
          <t>Retenue pour traiter R2, R3, R4, R6. Corrige l'écart aux règles 3 du socle.</t>
        </is>
      </c>
      <c r="H21" s="3" t="inlineStr">
        <is>
          <t>M03, M04</t>
        </is>
      </c>
      <c r="I21" s="3" t="inlineStr">
        <is>
          <t>R2, R3, R4, R6</t>
        </is>
      </c>
    </row>
    <row r="22">
      <c r="A22" s="3" t="inlineStr">
        <is>
          <t>5.21</t>
        </is>
      </c>
      <c r="B22" s="3" t="inlineStr">
        <is>
          <t>Sécurité de la chaîne d'approvisionnement des TIC</t>
        </is>
      </c>
      <c r="C22" s="3" t="inlineStr">
        <is>
          <t>organisationnel</t>
        </is>
      </c>
      <c r="D22" s="3" t="inlineStr">
        <is>
          <t>Oui</t>
        </is>
      </c>
      <c r="E22" s="3" t="inlineStr">
        <is>
          <t>À mettre en œuvre</t>
        </is>
      </c>
      <c r="F22" s="3" t="inlineStr">
        <is>
          <t>risque, socle</t>
        </is>
      </c>
      <c r="G22" s="3" t="inlineStr">
        <is>
          <t>Retenue pour traiter R4. Corrige l'écart aux règles 3, 42 du socle.</t>
        </is>
      </c>
      <c r="H22" s="3" t="inlineStr">
        <is>
          <t>M13</t>
        </is>
      </c>
      <c r="I22" s="3" t="inlineStr">
        <is>
          <t>R4</t>
        </is>
      </c>
    </row>
    <row r="23">
      <c r="A23" s="3" t="inlineStr">
        <is>
          <t>5.22</t>
        </is>
      </c>
      <c r="B23" s="3" t="inlineStr">
        <is>
          <t>Suivi et revue des services des fournisseurs</t>
        </is>
      </c>
      <c r="C23" s="3" t="inlineStr">
        <is>
          <t>organisationnel</t>
        </is>
      </c>
      <c r="D23" s="3" t="inlineStr">
        <is>
          <t>Oui</t>
        </is>
      </c>
      <c r="E23" s="3" t="inlineStr">
        <is>
          <t>À mettre en œuvre</t>
        </is>
      </c>
      <c r="F23" s="3" t="inlineStr">
        <is>
          <t>risque, socle</t>
        </is>
      </c>
      <c r="G23" s="3" t="inlineStr">
        <is>
          <t>Retenue pour traiter R2, R3, R4, R6. Corrige l'écart aux règles 3 du socle.</t>
        </is>
      </c>
      <c r="H23" s="3" t="inlineStr">
        <is>
          <t>M04, M05</t>
        </is>
      </c>
      <c r="I23" s="3" t="inlineStr">
        <is>
          <t>R2, R3, R4, R6</t>
        </is>
      </c>
    </row>
    <row r="24">
      <c r="A24" s="3" t="inlineStr">
        <is>
          <t>5.23</t>
        </is>
      </c>
      <c r="B24" s="3" t="inlineStr">
        <is>
          <t>Sécurité de l'information pour l'utilisation de services en nuage</t>
        </is>
      </c>
      <c r="C24" s="3" t="inlineStr">
        <is>
          <t>organisationnel</t>
        </is>
      </c>
      <c r="D24" s="3" t="inlineStr">
        <is>
          <t>Oui</t>
        </is>
      </c>
      <c r="E24" s="3" t="inlineStr">
        <is>
          <t>À mettre en œuvre</t>
        </is>
      </c>
      <c r="F24" s="3" t="inlineStr">
        <is>
          <t>socle</t>
        </is>
      </c>
      <c r="G24" s="3" t="inlineStr">
        <is>
          <t>Corrige l'écart aux règles 3, 42 du socle.</t>
        </is>
      </c>
      <c r="H24" s="3" t="inlineStr"/>
      <c r="I24" s="3" t="inlineStr"/>
    </row>
    <row r="25">
      <c r="A25" s="3" t="inlineStr">
        <is>
          <t>5.24</t>
        </is>
      </c>
      <c r="B25" s="3" t="inlineStr">
        <is>
          <t>Planification et préparation de la gestion des incidents</t>
        </is>
      </c>
      <c r="C25" s="3" t="inlineStr">
        <is>
          <t>organisationnel</t>
        </is>
      </c>
      <c r="D25" s="3" t="inlineStr">
        <is>
          <t>Oui</t>
        </is>
      </c>
      <c r="E25" s="3" t="inlineStr">
        <is>
          <t>À mettre en œuvre</t>
        </is>
      </c>
      <c r="F25" s="3" t="inlineStr">
        <is>
          <t>risque, socle</t>
        </is>
      </c>
      <c r="G25" s="3" t="inlineStr">
        <is>
          <t>Retenue pour traiter R2, R3, R4, R6, R7. Corrige l'écart aux règles 40 du socle.</t>
        </is>
      </c>
      <c r="H25" s="3" t="inlineStr">
        <is>
          <t>M04, N08</t>
        </is>
      </c>
      <c r="I25" s="3" t="inlineStr">
        <is>
          <t>R2, R3, R4, R6, R7</t>
        </is>
      </c>
    </row>
    <row r="26">
      <c r="A26" s="3" t="inlineStr">
        <is>
          <t>5.25</t>
        </is>
      </c>
      <c r="B26" s="3" t="inlineStr">
        <is>
          <t>Appréciation et décision sur les événements de sécurité</t>
        </is>
      </c>
      <c r="C26" s="3" t="inlineStr">
        <is>
          <t>organisationnel</t>
        </is>
      </c>
      <c r="D26" s="3" t="inlineStr">
        <is>
          <t>Oui</t>
        </is>
      </c>
      <c r="E26" s="3" t="inlineStr">
        <is>
          <t>À mettre en œuvre</t>
        </is>
      </c>
      <c r="F26" s="3" t="inlineStr">
        <is>
          <t>risque, socle</t>
        </is>
      </c>
      <c r="G26" s="3" t="inlineStr">
        <is>
          <t>Retenue pour traiter R4, R6, R7. Corrige l'écart aux règles 40 du socle.</t>
        </is>
      </c>
      <c r="H26" s="3" t="inlineStr">
        <is>
          <t>N08</t>
        </is>
      </c>
      <c r="I26" s="3" t="inlineStr">
        <is>
          <t>R4, R6, R7</t>
        </is>
      </c>
    </row>
    <row r="27">
      <c r="A27" s="3" t="inlineStr">
        <is>
          <t>5.26</t>
        </is>
      </c>
      <c r="B27" s="3" t="inlineStr">
        <is>
          <t>Réponse aux incidents de sécurité</t>
        </is>
      </c>
      <c r="C27" s="3" t="inlineStr">
        <is>
          <t>organisationnel</t>
        </is>
      </c>
      <c r="D27" s="3" t="inlineStr">
        <is>
          <t>Oui</t>
        </is>
      </c>
      <c r="E27" s="3" t="inlineStr">
        <is>
          <t>À mettre en œuvre</t>
        </is>
      </c>
      <c r="F27" s="3" t="inlineStr">
        <is>
          <t>risque, socle</t>
        </is>
      </c>
      <c r="G27" s="3" t="inlineStr">
        <is>
          <t>Retenue pour traiter R2, R3, R4, R6, R7. Corrige l'écart aux règles 40 du socle.</t>
        </is>
      </c>
      <c r="H27" s="3" t="inlineStr">
        <is>
          <t>M04, N08</t>
        </is>
      </c>
      <c r="I27" s="3" t="inlineStr">
        <is>
          <t>R2, R3, R4, R6, R7</t>
        </is>
      </c>
    </row>
    <row r="28">
      <c r="A28" s="3" t="inlineStr">
        <is>
          <t>5.27</t>
        </is>
      </c>
      <c r="B28" s="3" t="inlineStr">
        <is>
          <t>Retour d'expérience sur les incidents</t>
        </is>
      </c>
      <c r="C28" s="3" t="inlineStr">
        <is>
          <t>organisationnel</t>
        </is>
      </c>
      <c r="D28" s="3" t="inlineStr">
        <is>
          <t>Oui</t>
        </is>
      </c>
      <c r="E28" s="3" t="inlineStr">
        <is>
          <t>À mettre en œuvre</t>
        </is>
      </c>
      <c r="F28" s="3" t="inlineStr">
        <is>
          <t>risque, socle</t>
        </is>
      </c>
      <c r="G28" s="3" t="inlineStr">
        <is>
          <t>Retenue pour traiter R4, R6, R7. Corrige l'écart aux règles 40 du socle.</t>
        </is>
      </c>
      <c r="H28" s="3" t="inlineStr">
        <is>
          <t>N08</t>
        </is>
      </c>
      <c r="I28" s="3" t="inlineStr">
        <is>
          <t>R4, R6, R7</t>
        </is>
      </c>
    </row>
    <row r="29">
      <c r="A29" s="3" t="inlineStr">
        <is>
          <t>5.28</t>
        </is>
      </c>
      <c r="B29" s="3" t="inlineStr">
        <is>
          <t>Recueil de preuves</t>
        </is>
      </c>
      <c r="C29" s="3" t="inlineStr">
        <is>
          <t>organisationnel</t>
        </is>
      </c>
      <c r="D29" s="3" t="inlineStr">
        <is>
          <t>Oui</t>
        </is>
      </c>
      <c r="E29" s="3" t="inlineStr">
        <is>
          <t>À mettre en œuvre</t>
        </is>
      </c>
      <c r="F29" s="3" t="inlineStr">
        <is>
          <t>risque</t>
        </is>
      </c>
      <c r="G29" s="3" t="inlineStr">
        <is>
          <t xml:space="preserve">Retenue pour traiter R4, R6, R7. </t>
        </is>
      </c>
      <c r="H29" s="3" t="inlineStr">
        <is>
          <t>N08</t>
        </is>
      </c>
      <c r="I29" s="3" t="inlineStr">
        <is>
          <t>R4, R6, R7</t>
        </is>
      </c>
    </row>
    <row r="30">
      <c r="A30" s="3" t="inlineStr">
        <is>
          <t>5.29</t>
        </is>
      </c>
      <c r="B30" s="3" t="inlineStr">
        <is>
          <t>Sécurité de l'information pendant une perturbation</t>
        </is>
      </c>
      <c r="C30" s="3" t="inlineStr">
        <is>
          <t>organisationnel</t>
        </is>
      </c>
      <c r="D30" s="3" t="inlineStr">
        <is>
          <t>Oui</t>
        </is>
      </c>
      <c r="E30" s="3" t="inlineStr">
        <is>
          <t>Partielle</t>
        </is>
      </c>
      <c r="F30" s="3" t="inlineStr">
        <is>
          <t>risque</t>
        </is>
      </c>
      <c r="G30" s="3" t="inlineStr">
        <is>
          <t xml:space="preserve">Retenue pour traiter R4, R5, R6, R7. </t>
        </is>
      </c>
      <c r="H30" s="3" t="inlineStr">
        <is>
          <t>M12</t>
        </is>
      </c>
      <c r="I30" s="3" t="inlineStr">
        <is>
          <t>R4, R5, R6, R7</t>
        </is>
      </c>
    </row>
    <row r="31">
      <c r="A31" s="3" t="inlineStr">
        <is>
          <t>5.30</t>
        </is>
      </c>
      <c r="B31" s="3" t="inlineStr">
        <is>
          <t>Préparation des TIC à la continuité d'activité</t>
        </is>
      </c>
      <c r="C31" s="3" t="inlineStr">
        <is>
          <t>organisationnel</t>
        </is>
      </c>
      <c r="D31" s="3" t="inlineStr">
        <is>
          <t>Oui</t>
        </is>
      </c>
      <c r="E31" s="3" t="inlineStr">
        <is>
          <t>Partielle</t>
        </is>
      </c>
      <c r="F31" s="3" t="inlineStr">
        <is>
          <t>risque</t>
        </is>
      </c>
      <c r="G31" s="3" t="inlineStr">
        <is>
          <t xml:space="preserve">Retenue pour traiter R4, R5, R6, R7. </t>
        </is>
      </c>
      <c r="H31" s="3" t="inlineStr">
        <is>
          <t>M12, N06</t>
        </is>
      </c>
      <c r="I31" s="3" t="inlineStr">
        <is>
          <t>R4, R5, R6, R7</t>
        </is>
      </c>
    </row>
    <row r="32">
      <c r="A32" s="3" t="inlineStr">
        <is>
          <t>5.31</t>
        </is>
      </c>
      <c r="B32" s="3" t="inlineStr">
        <is>
          <t>Exigences légales, réglementaires et contractuelles</t>
        </is>
      </c>
      <c r="C32" s="3" t="inlineStr">
        <is>
          <t>organisationnel</t>
        </is>
      </c>
      <c r="D32" s="3" t="inlineStr">
        <is>
          <t>Oui</t>
        </is>
      </c>
      <c r="E32" s="3" t="inlineStr">
        <is>
          <t>À mettre en œuvre</t>
        </is>
      </c>
      <c r="F32" s="3" t="inlineStr">
        <is>
          <t>risque</t>
        </is>
      </c>
      <c r="G32" s="3" t="inlineStr">
        <is>
          <t xml:space="preserve">Retenue pour traiter R4, R5. </t>
        </is>
      </c>
      <c r="H32" s="3" t="inlineStr">
        <is>
          <t>N12</t>
        </is>
      </c>
      <c r="I32" s="3" t="inlineStr">
        <is>
          <t>R4, R5</t>
        </is>
      </c>
    </row>
    <row r="33">
      <c r="A33" s="3" t="inlineStr">
        <is>
          <t>5.32</t>
        </is>
      </c>
      <c r="B33" s="3" t="inlineStr">
        <is>
          <t>Droits de propriété intellectuelle</t>
        </is>
      </c>
      <c r="C33" s="3" t="inlineStr">
        <is>
          <t>organisationnel</t>
        </is>
      </c>
      <c r="D33" s="3" t="inlineStr">
        <is>
          <t>Oui</t>
        </is>
      </c>
      <c r="E33" s="3" t="inlineStr">
        <is>
          <t>Partielle</t>
        </is>
      </c>
      <c r="F33" s="3" t="inlineStr">
        <is>
          <t>légal</t>
        </is>
      </c>
      <c r="G33" s="3" t="inlineStr">
        <is>
          <t>Protéger les droits sur l'algorithme de scoring antifraude et respecter les licences logicielles.</t>
        </is>
      </c>
      <c r="H33" s="3" t="inlineStr"/>
      <c r="I33" s="3" t="inlineStr"/>
    </row>
    <row r="34">
      <c r="A34" s="3" t="inlineStr">
        <is>
          <t>5.33</t>
        </is>
      </c>
      <c r="B34" s="3" t="inlineStr">
        <is>
          <t>Protection des enregistrements</t>
        </is>
      </c>
      <c r="C34" s="3" t="inlineStr">
        <is>
          <t>organisationnel</t>
        </is>
      </c>
      <c r="D34" s="3" t="inlineStr">
        <is>
          <t>Oui</t>
        </is>
      </c>
      <c r="E34" s="3" t="inlineStr">
        <is>
          <t>À mettre en œuvre</t>
        </is>
      </c>
      <c r="F34" s="3" t="inlineStr">
        <is>
          <t>bonne pratique</t>
        </is>
      </c>
      <c r="G34" s="3" t="inlineStr">
        <is>
          <t>Aucune mesure ni règle du socle ne la couvre encore ; à traiter dans un cycle ultérieur.</t>
        </is>
      </c>
      <c r="H34" s="3" t="inlineStr"/>
      <c r="I34" s="3" t="inlineStr"/>
    </row>
    <row r="35">
      <c r="A35" s="3" t="inlineStr">
        <is>
          <t>5.34</t>
        </is>
      </c>
      <c r="B35" s="3" t="inlineStr">
        <is>
          <t>Vie privée et protection des données personnelles</t>
        </is>
      </c>
      <c r="C35" s="3" t="inlineStr">
        <is>
          <t>organisationnel</t>
        </is>
      </c>
      <c r="D35" s="3" t="inlineStr">
        <is>
          <t>Oui</t>
        </is>
      </c>
      <c r="E35" s="3" t="inlineStr">
        <is>
          <t>À mettre en œuvre</t>
        </is>
      </c>
      <c r="F35" s="3" t="inlineStr">
        <is>
          <t>risque</t>
        </is>
      </c>
      <c r="G35" s="3" t="inlineStr">
        <is>
          <t xml:space="preserve">Retenue pour traiter R4, R5. </t>
        </is>
      </c>
      <c r="H35" s="3" t="inlineStr">
        <is>
          <t>N12</t>
        </is>
      </c>
      <c r="I35" s="3" t="inlineStr">
        <is>
          <t>R4, R5</t>
        </is>
      </c>
    </row>
    <row r="36">
      <c r="A36" s="3" t="inlineStr">
        <is>
          <t>5.35</t>
        </is>
      </c>
      <c r="B36" s="3" t="inlineStr">
        <is>
          <t>Revue indépendante de la sécurité de l'information</t>
        </is>
      </c>
      <c r="C36" s="3" t="inlineStr">
        <is>
          <t>organisationnel</t>
        </is>
      </c>
      <c r="D36" s="3" t="inlineStr">
        <is>
          <t>Oui</t>
        </is>
      </c>
      <c r="E36" s="3" t="inlineStr">
        <is>
          <t>Partielle</t>
        </is>
      </c>
      <c r="F36" s="3" t="inlineStr">
        <is>
          <t>risque, socle</t>
        </is>
      </c>
      <c r="G36" s="3" t="inlineStr">
        <is>
          <t>Retenue pour traiter R1, R2, R3, R4, R5, R6, R7. Corrige l'écart aux règles 38 du socle.</t>
        </is>
      </c>
      <c r="H36" s="3" t="inlineStr">
        <is>
          <t>M02, M05, N09</t>
        </is>
      </c>
      <c r="I36" s="3" t="inlineStr">
        <is>
          <t>R1, R2, R3, R4, R5, R6, R7</t>
        </is>
      </c>
    </row>
    <row r="37">
      <c r="A37" s="3" t="inlineStr">
        <is>
          <t>5.36</t>
        </is>
      </c>
      <c r="B37" s="3" t="inlineStr">
        <is>
          <t>Conformité aux politiques, règles et normes</t>
        </is>
      </c>
      <c r="C37" s="3" t="inlineStr">
        <is>
          <t>organisationnel</t>
        </is>
      </c>
      <c r="D37" s="3" t="inlineStr">
        <is>
          <t>Oui</t>
        </is>
      </c>
      <c r="E37" s="3" t="inlineStr">
        <is>
          <t>Partielle</t>
        </is>
      </c>
      <c r="F37" s="3" t="inlineStr">
        <is>
          <t>risque, socle</t>
        </is>
      </c>
      <c r="G37" s="3" t="inlineStr">
        <is>
          <t>Retenue pour traiter R1, R2, R3, R4, R5, R6, R7. Corrige l'écart aux règles 38 du socle.</t>
        </is>
      </c>
      <c r="H37" s="3" t="inlineStr">
        <is>
          <t>N09</t>
        </is>
      </c>
      <c r="I37" s="3" t="inlineStr">
        <is>
          <t>R1, R2, R3, R4, R5, R6, R7</t>
        </is>
      </c>
    </row>
    <row r="38">
      <c r="A38" s="3" t="inlineStr">
        <is>
          <t>5.37</t>
        </is>
      </c>
      <c r="B38" s="3" t="inlineStr">
        <is>
          <t>Procédures d'exploitation documentées</t>
        </is>
      </c>
      <c r="C38" s="3" t="inlineStr">
        <is>
          <t>organisationnel</t>
        </is>
      </c>
      <c r="D38" s="3" t="inlineStr">
        <is>
          <t>Oui</t>
        </is>
      </c>
      <c r="E38" s="3" t="inlineStr">
        <is>
          <t>À mettre en œuvre</t>
        </is>
      </c>
      <c r="F38" s="3" t="inlineStr">
        <is>
          <t>bonne pratique</t>
        </is>
      </c>
      <c r="G38" s="3" t="inlineStr">
        <is>
          <t>Documenter les procédures d'exploitation : sauvegarde, mise à jour, administration.</t>
        </is>
      </c>
      <c r="H38" s="3" t="inlineStr"/>
      <c r="I38" s="3" t="inlineStr"/>
    </row>
    <row r="39">
      <c r="A39" s="3" t="inlineStr">
        <is>
          <t>6.1</t>
        </is>
      </c>
      <c r="B39" s="3" t="inlineStr">
        <is>
          <t>Vérification des antécédents</t>
        </is>
      </c>
      <c r="C39" s="3" t="inlineStr">
        <is>
          <t>personnes</t>
        </is>
      </c>
      <c r="D39" s="3" t="inlineStr">
        <is>
          <t>Oui</t>
        </is>
      </c>
      <c r="E39" s="3" t="inlineStr">
        <is>
          <t>Partielle</t>
        </is>
      </c>
      <c r="F39" s="3" t="inlineStr">
        <is>
          <t>légal</t>
        </is>
      </c>
      <c r="G39" s="3" t="inlineStr">
        <is>
          <t>Vérifications à l'embauche proportionnées au poste, dans le cadre du droit du travail.</t>
        </is>
      </c>
      <c r="H39" s="3" t="inlineStr"/>
      <c r="I39" s="3" t="inlineStr"/>
    </row>
    <row r="40">
      <c r="A40" s="3" t="inlineStr">
        <is>
          <t>6.2</t>
        </is>
      </c>
      <c r="B40" s="3" t="inlineStr">
        <is>
          <t>Conditions d'emploi</t>
        </is>
      </c>
      <c r="C40" s="3" t="inlineStr">
        <is>
          <t>personnes</t>
        </is>
      </c>
      <c r="D40" s="3" t="inlineStr">
        <is>
          <t>Oui</t>
        </is>
      </c>
      <c r="E40" s="3" t="inlineStr">
        <is>
          <t>Partielle</t>
        </is>
      </c>
      <c r="F40" s="3" t="inlineStr">
        <is>
          <t>contractuel</t>
        </is>
      </c>
      <c r="G40" s="3" t="inlineStr">
        <is>
          <t>La charte informatique existe ; il reste à inscrire les obligations de sécurité dans les contrats.</t>
        </is>
      </c>
      <c r="H40" s="3" t="inlineStr"/>
      <c r="I40" s="3" t="inlineStr"/>
    </row>
    <row r="41">
      <c r="A41" s="3" t="inlineStr">
        <is>
          <t>6.3</t>
        </is>
      </c>
      <c r="B41" s="3" t="inlineStr">
        <is>
          <t>Sensibilisation, apprentissage et formation</t>
        </is>
      </c>
      <c r="C41" s="3" t="inlineStr">
        <is>
          <t>personnes</t>
        </is>
      </c>
      <c r="D41" s="3" t="inlineStr">
        <is>
          <t>Oui</t>
        </is>
      </c>
      <c r="E41" s="3" t="inlineStr">
        <is>
          <t>Partielle</t>
        </is>
      </c>
      <c r="F41" s="3" t="inlineStr">
        <is>
          <t>risque, socle</t>
        </is>
      </c>
      <c r="G41" s="3" t="inlineStr">
        <is>
          <t>Retenue pour traiter R1, R7. Corrige l'écart aux règles 1, 2 du socle.</t>
        </is>
      </c>
      <c r="H41" s="3" t="inlineStr">
        <is>
          <t>M01</t>
        </is>
      </c>
      <c r="I41" s="3" t="inlineStr">
        <is>
          <t>R1, R7</t>
        </is>
      </c>
    </row>
    <row r="42">
      <c r="A42" s="3" t="inlineStr">
        <is>
          <t>6.4</t>
        </is>
      </c>
      <c r="B42" s="3" t="inlineStr">
        <is>
          <t>Processus disciplinaire</t>
        </is>
      </c>
      <c r="C42" s="3" t="inlineStr">
        <is>
          <t>personnes</t>
        </is>
      </c>
      <c r="D42" s="3" t="inlineStr">
        <is>
          <t>Oui</t>
        </is>
      </c>
      <c r="E42" s="3" t="inlineStr">
        <is>
          <t>À mettre en œuvre</t>
        </is>
      </c>
      <c r="F42" s="3" t="inlineStr">
        <is>
          <t>bonne pratique</t>
        </is>
      </c>
      <c r="G42" s="3" t="inlineStr">
        <is>
          <t>Prévoir la sanction des manquements graves aux règles de sécurité.</t>
        </is>
      </c>
      <c r="H42" s="3" t="inlineStr"/>
      <c r="I42" s="3" t="inlineStr"/>
    </row>
    <row r="43">
      <c r="A43" s="3" t="inlineStr">
        <is>
          <t>6.5</t>
        </is>
      </c>
      <c r="B43" s="3" t="inlineStr">
        <is>
          <t>Responsabilités après la fin ou le changement d'emploi</t>
        </is>
      </c>
      <c r="C43" s="3" t="inlineStr">
        <is>
          <t>personnes</t>
        </is>
      </c>
      <c r="D43" s="3" t="inlineStr">
        <is>
          <t>Oui</t>
        </is>
      </c>
      <c r="E43" s="3" t="inlineStr">
        <is>
          <t>Partielle</t>
        </is>
      </c>
      <c r="F43" s="3" t="inlineStr">
        <is>
          <t>risque, socle</t>
        </is>
      </c>
      <c r="G43" s="3" t="inlineStr">
        <is>
          <t>Retenue pour traiter R3, R6. Corrige l'écart aux règles 6 du socle.</t>
        </is>
      </c>
      <c r="H43" s="3" t="inlineStr">
        <is>
          <t>N11</t>
        </is>
      </c>
      <c r="I43" s="3" t="inlineStr">
        <is>
          <t>R3, R6</t>
        </is>
      </c>
    </row>
    <row r="44">
      <c r="A44" s="3" t="inlineStr">
        <is>
          <t>6.6</t>
        </is>
      </c>
      <c r="B44" s="3" t="inlineStr">
        <is>
          <t>Engagements de confidentialité</t>
        </is>
      </c>
      <c r="C44" s="3" t="inlineStr">
        <is>
          <t>personnes</t>
        </is>
      </c>
      <c r="D44" s="3" t="inlineStr">
        <is>
          <t>Oui</t>
        </is>
      </c>
      <c r="E44" s="3" t="inlineStr">
        <is>
          <t>Partielle</t>
        </is>
      </c>
      <c r="F44" s="3" t="inlineStr">
        <is>
          <t>bonne pratique</t>
        </is>
      </c>
      <c r="G44" s="3" t="inlineStr">
        <is>
          <t>Accords de confidentialité avec les salariés et le centre technique de Casablanca.</t>
        </is>
      </c>
      <c r="H44" s="3" t="inlineStr"/>
      <c r="I44" s="3" t="inlineStr"/>
    </row>
    <row r="45">
      <c r="A45" s="3" t="inlineStr">
        <is>
          <t>6.7</t>
        </is>
      </c>
      <c r="B45" s="3" t="inlineStr">
        <is>
          <t>Travail à distance</t>
        </is>
      </c>
      <c r="C45" s="3" t="inlineStr">
        <is>
          <t>personnes</t>
        </is>
      </c>
      <c r="D45" s="3" t="inlineStr">
        <is>
          <t>Oui</t>
        </is>
      </c>
      <c r="E45" s="3" t="inlineStr">
        <is>
          <t>Partielle</t>
        </is>
      </c>
      <c r="F45" s="3" t="inlineStr">
        <is>
          <t>socle</t>
        </is>
      </c>
      <c r="G45" s="3" t="inlineStr">
        <is>
          <t>Corrige l'écart aux règles 32, 33 du socle.</t>
        </is>
      </c>
      <c r="H45" s="3" t="inlineStr"/>
      <c r="I45" s="3" t="inlineStr"/>
    </row>
    <row r="46">
      <c r="A46" s="3" t="inlineStr">
        <is>
          <t>6.8</t>
        </is>
      </c>
      <c r="B46" s="3" t="inlineStr">
        <is>
          <t>Signalement des événements de sécurité</t>
        </is>
      </c>
      <c r="C46" s="3" t="inlineStr">
        <is>
          <t>personnes</t>
        </is>
      </c>
      <c r="D46" s="3" t="inlineStr">
        <is>
          <t>Oui</t>
        </is>
      </c>
      <c r="E46" s="3" t="inlineStr">
        <is>
          <t>À mettre en œuvre</t>
        </is>
      </c>
      <c r="F46" s="3" t="inlineStr">
        <is>
          <t>risque, socle</t>
        </is>
      </c>
      <c r="G46" s="3" t="inlineStr">
        <is>
          <t>Retenue pour traiter R4, R6, R7. Corrige l'écart aux règles 40 du socle.</t>
        </is>
      </c>
      <c r="H46" s="3" t="inlineStr">
        <is>
          <t>N08</t>
        </is>
      </c>
      <c r="I46" s="3" t="inlineStr">
        <is>
          <t>R4, R6, R7</t>
        </is>
      </c>
    </row>
    <row r="47">
      <c r="A47" s="3" t="inlineStr">
        <is>
          <t>7.1</t>
        </is>
      </c>
      <c r="B47" s="3" t="inlineStr">
        <is>
          <t>Périmètres de sécurité physique</t>
        </is>
      </c>
      <c r="C47" s="3" t="inlineStr">
        <is>
          <t>physique</t>
        </is>
      </c>
      <c r="D47" s="3" t="inlineStr">
        <is>
          <t>Oui</t>
        </is>
      </c>
      <c r="E47" s="3" t="inlineStr">
        <is>
          <t>Partielle</t>
        </is>
      </c>
      <c r="F47" s="3" t="inlineStr">
        <is>
          <t>risque, socle</t>
        </is>
      </c>
      <c r="G47" s="3" t="inlineStr">
        <is>
          <t>Retenue pour traiter R1. Corrige l'écart aux règles 26 du socle.</t>
        </is>
      </c>
      <c r="H47" s="3" t="inlineStr">
        <is>
          <t>M08</t>
        </is>
      </c>
      <c r="I47" s="3" t="inlineStr">
        <is>
          <t>R1</t>
        </is>
      </c>
    </row>
    <row r="48">
      <c r="A48" s="3" t="inlineStr">
        <is>
          <t>7.2</t>
        </is>
      </c>
      <c r="B48" s="3" t="inlineStr">
        <is>
          <t>Accès physiques</t>
        </is>
      </c>
      <c r="C48" s="3" t="inlineStr">
        <is>
          <t>physique</t>
        </is>
      </c>
      <c r="D48" s="3" t="inlineStr">
        <is>
          <t>Oui</t>
        </is>
      </c>
      <c r="E48" s="3" t="inlineStr">
        <is>
          <t>Partielle</t>
        </is>
      </c>
      <c r="F48" s="3" t="inlineStr">
        <is>
          <t>risque, socle</t>
        </is>
      </c>
      <c r="G48" s="3" t="inlineStr">
        <is>
          <t>Retenue pour traiter R1. Corrige l'écart aux règles 26 du socle.</t>
        </is>
      </c>
      <c r="H48" s="3" t="inlineStr">
        <is>
          <t>M08</t>
        </is>
      </c>
      <c r="I48" s="3" t="inlineStr">
        <is>
          <t>R1</t>
        </is>
      </c>
    </row>
    <row r="49">
      <c r="A49" s="3" t="inlineStr">
        <is>
          <t>7.3</t>
        </is>
      </c>
      <c r="B49" s="3" t="inlineStr">
        <is>
          <t>Sécurisation des bureaux, salles et équipements</t>
        </is>
      </c>
      <c r="C49" s="3" t="inlineStr">
        <is>
          <t>physique</t>
        </is>
      </c>
      <c r="D49" s="3" t="inlineStr">
        <is>
          <t>Oui</t>
        </is>
      </c>
      <c r="E49" s="3" t="inlineStr">
        <is>
          <t>Partielle</t>
        </is>
      </c>
      <c r="F49" s="3" t="inlineStr">
        <is>
          <t>risque, socle</t>
        </is>
      </c>
      <c r="G49" s="3" t="inlineStr">
        <is>
          <t>Retenue pour traiter R1. Corrige l'écart aux règles 26 du socle.</t>
        </is>
      </c>
      <c r="H49" s="3" t="inlineStr">
        <is>
          <t>M08</t>
        </is>
      </c>
      <c r="I49" s="3" t="inlineStr">
        <is>
          <t>R1</t>
        </is>
      </c>
    </row>
    <row r="50">
      <c r="A50" s="3" t="inlineStr">
        <is>
          <t>7.4</t>
        </is>
      </c>
      <c r="B50" s="3" t="inlineStr">
        <is>
          <t>Surveillance de la sécurité physique</t>
        </is>
      </c>
      <c r="C50" s="3" t="inlineStr">
        <is>
          <t>physique</t>
        </is>
      </c>
      <c r="D50" s="3" t="inlineStr">
        <is>
          <t>Oui</t>
        </is>
      </c>
      <c r="E50" s="3" t="inlineStr">
        <is>
          <t>À mettre en œuvre</t>
        </is>
      </c>
      <c r="F50" s="3" t="inlineStr">
        <is>
          <t>bonne pratique</t>
        </is>
      </c>
      <c r="G50" s="3" t="inlineStr">
        <is>
          <t>Surveiller les accès aux bâtiments et aux zones sensibles.</t>
        </is>
      </c>
      <c r="H50" s="3" t="inlineStr"/>
      <c r="I50" s="3" t="inlineStr"/>
    </row>
    <row r="51">
      <c r="A51" s="3" t="inlineStr">
        <is>
          <t>7.5</t>
        </is>
      </c>
      <c r="B51" s="3" t="inlineStr">
        <is>
          <t>Protection contre les menaces physiques et environnementales</t>
        </is>
      </c>
      <c r="C51" s="3" t="inlineStr">
        <is>
          <t>physique</t>
        </is>
      </c>
      <c r="D51" s="3" t="inlineStr">
        <is>
          <t>Oui</t>
        </is>
      </c>
      <c r="E51" s="3" t="inlineStr">
        <is>
          <t>À mettre en œuvre</t>
        </is>
      </c>
      <c r="F51" s="3" t="inlineStr">
        <is>
          <t>bonne pratique</t>
        </is>
      </c>
      <c r="G51" s="3" t="inlineStr">
        <is>
          <t>Aucune mesure ni règle du socle ne la couvre encore ; à traiter dans un cycle ultérieur.</t>
        </is>
      </c>
      <c r="H51" s="3" t="inlineStr"/>
      <c r="I51" s="3" t="inlineStr"/>
    </row>
    <row r="52">
      <c r="A52" s="3" t="inlineStr">
        <is>
          <t>7.6</t>
        </is>
      </c>
      <c r="B52" s="3" t="inlineStr">
        <is>
          <t>Travail dans les zones sécurisées</t>
        </is>
      </c>
      <c r="C52" s="3" t="inlineStr">
        <is>
          <t>physique</t>
        </is>
      </c>
      <c r="D52" s="3" t="inlineStr">
        <is>
          <t>Oui</t>
        </is>
      </c>
      <c r="E52" s="3" t="inlineStr">
        <is>
          <t>À mettre en œuvre</t>
        </is>
      </c>
      <c r="F52" s="3" t="inlineStr">
        <is>
          <t>bonne pratique</t>
        </is>
      </c>
      <c r="G52" s="3" t="inlineStr">
        <is>
          <t>Aucune mesure ni règle du socle ne la couvre encore ; à traiter dans un cycle ultérieur.</t>
        </is>
      </c>
      <c r="H52" s="3" t="inlineStr"/>
      <c r="I52" s="3" t="inlineStr"/>
    </row>
    <row r="53">
      <c r="A53" s="3" t="inlineStr">
        <is>
          <t>7.7</t>
        </is>
      </c>
      <c r="B53" s="3" t="inlineStr">
        <is>
          <t>Bureau propre et écran vide</t>
        </is>
      </c>
      <c r="C53" s="3" t="inlineStr">
        <is>
          <t>physique</t>
        </is>
      </c>
      <c r="D53" s="3" t="inlineStr">
        <is>
          <t>Oui</t>
        </is>
      </c>
      <c r="E53" s="3" t="inlineStr">
        <is>
          <t>À mettre en œuvre</t>
        </is>
      </c>
      <c r="F53" s="3" t="inlineStr">
        <is>
          <t>bonne pratique</t>
        </is>
      </c>
      <c r="G53" s="3" t="inlineStr">
        <is>
          <t>Aucune mesure ni règle du socle ne la couvre encore ; à traiter dans un cycle ultérieur.</t>
        </is>
      </c>
      <c r="H53" s="3" t="inlineStr"/>
      <c r="I53" s="3" t="inlineStr"/>
    </row>
    <row r="54">
      <c r="A54" s="3" t="inlineStr">
        <is>
          <t>7.8</t>
        </is>
      </c>
      <c r="B54" s="3" t="inlineStr">
        <is>
          <t>Emplacement et protection du matériel</t>
        </is>
      </c>
      <c r="C54" s="3" t="inlineStr">
        <is>
          <t>physique</t>
        </is>
      </c>
      <c r="D54" s="3" t="inlineStr">
        <is>
          <t>Oui</t>
        </is>
      </c>
      <c r="E54" s="3" t="inlineStr">
        <is>
          <t>À mettre en œuvre</t>
        </is>
      </c>
      <c r="F54" s="3" t="inlineStr">
        <is>
          <t>bonne pratique</t>
        </is>
      </c>
      <c r="G54" s="3" t="inlineStr">
        <is>
          <t>Aucune mesure ni règle du socle ne la couvre encore ; à traiter dans un cycle ultérieur.</t>
        </is>
      </c>
      <c r="H54" s="3" t="inlineStr"/>
      <c r="I54" s="3" t="inlineStr"/>
    </row>
    <row r="55">
      <c r="A55" s="3" t="inlineStr">
        <is>
          <t>7.9</t>
        </is>
      </c>
      <c r="B55" s="3" t="inlineStr">
        <is>
          <t>Sécurité des actifs hors des locaux</t>
        </is>
      </c>
      <c r="C55" s="3" t="inlineStr">
        <is>
          <t>physique</t>
        </is>
      </c>
      <c r="D55" s="3" t="inlineStr">
        <is>
          <t>Oui</t>
        </is>
      </c>
      <c r="E55" s="3" t="inlineStr">
        <is>
          <t>Partielle</t>
        </is>
      </c>
      <c r="F55" s="3" t="inlineStr">
        <is>
          <t>risque, socle</t>
        </is>
      </c>
      <c r="G55" s="3" t="inlineStr">
        <is>
          <t>Retenue pour traiter R1, R6, R7. Corrige l'écart aux règles 30, 31 du socle.</t>
        </is>
      </c>
      <c r="H55" s="3" t="inlineStr">
        <is>
          <t>N07</t>
        </is>
      </c>
      <c r="I55" s="3" t="inlineStr">
        <is>
          <t>R1, R6, R7</t>
        </is>
      </c>
    </row>
    <row r="56">
      <c r="A56" s="3" t="inlineStr">
        <is>
          <t>7.10</t>
        </is>
      </c>
      <c r="B56" s="3" t="inlineStr">
        <is>
          <t>Supports de stockage</t>
        </is>
      </c>
      <c r="C56" s="3" t="inlineStr">
        <is>
          <t>physique</t>
        </is>
      </c>
      <c r="D56" s="3" t="inlineStr">
        <is>
          <t>Oui</t>
        </is>
      </c>
      <c r="E56" s="3" t="inlineStr">
        <is>
          <t>Partielle</t>
        </is>
      </c>
      <c r="F56" s="3" t="inlineStr">
        <is>
          <t>risque, socle</t>
        </is>
      </c>
      <c r="G56" s="3" t="inlineStr">
        <is>
          <t>Retenue pour traiter R1, R7. Corrige l'écart aux règles 15, 30 du socle.</t>
        </is>
      </c>
      <c r="H56" s="3" t="inlineStr">
        <is>
          <t>N03</t>
        </is>
      </c>
      <c r="I56" s="3" t="inlineStr">
        <is>
          <t>R1, R7</t>
        </is>
      </c>
    </row>
    <row r="57">
      <c r="A57" s="3" t="inlineStr">
        <is>
          <t>7.11</t>
        </is>
      </c>
      <c r="B57" s="3" t="inlineStr">
        <is>
          <t>Services généraux (énergie, climatisation)</t>
        </is>
      </c>
      <c r="C57" s="3" t="inlineStr">
        <is>
          <t>physique</t>
        </is>
      </c>
      <c r="D57" s="3" t="inlineStr">
        <is>
          <t>Non</t>
        </is>
      </c>
      <c r="E57" s="3" t="inlineStr">
        <is>
          <t>Exclue</t>
        </is>
      </c>
      <c r="F57" s="3" t="inlineStr"/>
      <c r="G57" s="3" t="inlineStr">
        <is>
          <t>L'hébergement est entièrement confié au fournisseur cloud (F1) : CelerPay n'opère aucune salle serveur propre.</t>
        </is>
      </c>
      <c r="H57" s="3" t="inlineStr"/>
      <c r="I57" s="3" t="inlineStr"/>
    </row>
    <row r="58">
      <c r="A58" s="3" t="inlineStr">
        <is>
          <t>7.12</t>
        </is>
      </c>
      <c r="B58" s="3" t="inlineStr">
        <is>
          <t>Sécurité du câblage</t>
        </is>
      </c>
      <c r="C58" s="3" t="inlineStr">
        <is>
          <t>physique</t>
        </is>
      </c>
      <c r="D58" s="3" t="inlineStr">
        <is>
          <t>Non</t>
        </is>
      </c>
      <c r="E58" s="3" t="inlineStr">
        <is>
          <t>Exclue</t>
        </is>
      </c>
      <c r="F58" s="3" t="inlineStr"/>
      <c r="G58" s="3" t="inlineStr">
        <is>
          <t>Aucun câblage réseau ou électrique propre à protéger : infrastructure entièrement en cloud.</t>
        </is>
      </c>
      <c r="H58" s="3" t="inlineStr"/>
      <c r="I58" s="3" t="inlineStr"/>
    </row>
    <row r="59">
      <c r="A59" s="3" t="inlineStr">
        <is>
          <t>7.13</t>
        </is>
      </c>
      <c r="B59" s="3" t="inlineStr">
        <is>
          <t>Maintenance du matériel</t>
        </is>
      </c>
      <c r="C59" s="3" t="inlineStr">
        <is>
          <t>physique</t>
        </is>
      </c>
      <c r="D59" s="3" t="inlineStr">
        <is>
          <t>Oui</t>
        </is>
      </c>
      <c r="E59" s="3" t="inlineStr">
        <is>
          <t>À mettre en œuvre</t>
        </is>
      </c>
      <c r="F59" s="3" t="inlineStr">
        <is>
          <t>risque, socle</t>
        </is>
      </c>
      <c r="G59" s="3" t="inlineStr">
        <is>
          <t>Retenue pour traiter R4, R5, R6, R7. Corrige l'écart aux règles 35 du socle.</t>
        </is>
      </c>
      <c r="H59" s="3" t="inlineStr">
        <is>
          <t>M09</t>
        </is>
      </c>
      <c r="I59" s="3" t="inlineStr">
        <is>
          <t>R4, R5, R6, R7</t>
        </is>
      </c>
    </row>
    <row r="60">
      <c r="A60" s="3" t="inlineStr">
        <is>
          <t>7.14</t>
        </is>
      </c>
      <c r="B60" s="3" t="inlineStr">
        <is>
          <t>Mise au rebut ou réutilisation sécurisée du matériel</t>
        </is>
      </c>
      <c r="C60" s="3" t="inlineStr">
        <is>
          <t>physique</t>
        </is>
      </c>
      <c r="D60" s="3" t="inlineStr">
        <is>
          <t>Oui</t>
        </is>
      </c>
      <c r="E60" s="3" t="inlineStr">
        <is>
          <t>À mettre en œuvre</t>
        </is>
      </c>
      <c r="F60" s="3" t="inlineStr">
        <is>
          <t>bonne pratique</t>
        </is>
      </c>
      <c r="G60" s="3" t="inlineStr">
        <is>
          <t>Effacer ou détruire les supports avant mise au rebut, avec traçabilité.</t>
        </is>
      </c>
      <c r="H60" s="3" t="inlineStr"/>
      <c r="I60" s="3" t="inlineStr"/>
    </row>
    <row r="61">
      <c r="A61" s="3" t="inlineStr">
        <is>
          <t>8.1</t>
        </is>
      </c>
      <c r="B61" s="3" t="inlineStr">
        <is>
          <t>Terminaux des utilisateurs</t>
        </is>
      </c>
      <c r="C61" s="3" t="inlineStr">
        <is>
          <t>technologique</t>
        </is>
      </c>
      <c r="D61" s="3" t="inlineStr">
        <is>
          <t>Oui</t>
        </is>
      </c>
      <c r="E61" s="3" t="inlineStr">
        <is>
          <t>Partielle</t>
        </is>
      </c>
      <c r="F61" s="3" t="inlineStr">
        <is>
          <t>risque, socle</t>
        </is>
      </c>
      <c r="G61" s="3" t="inlineStr">
        <is>
          <t>Retenue pour traiter R1, R4, R6, R7. Corrige l'écart aux règles 7, 14, 16, 17, 33 du socle.</t>
        </is>
      </c>
      <c r="H61" s="3" t="inlineStr">
        <is>
          <t>M13, N07</t>
        </is>
      </c>
      <c r="I61" s="3" t="inlineStr">
        <is>
          <t>R1, R4, R6, R7</t>
        </is>
      </c>
    </row>
    <row r="62">
      <c r="A62" s="3" t="inlineStr">
        <is>
          <t>8.2</t>
        </is>
      </c>
      <c r="B62" s="3" t="inlineStr">
        <is>
          <t>Droits d'accès privilégiés</t>
        </is>
      </c>
      <c r="C62" s="3" t="inlineStr">
        <is>
          <t>technologique</t>
        </is>
      </c>
      <c r="D62" s="3" t="inlineStr">
        <is>
          <t>Oui</t>
        </is>
      </c>
      <c r="E62" s="3" t="inlineStr">
        <is>
          <t>Partielle</t>
        </is>
      </c>
      <c r="F62" s="3" t="inlineStr">
        <is>
          <t>risque, socle</t>
        </is>
      </c>
      <c r="G62" s="3" t="inlineStr">
        <is>
          <t>Retenue pour traiter R3, R6, R7. Corrige l'écart aux règles 5, 27, 28, 29 du socle.</t>
        </is>
      </c>
      <c r="H62" s="3" t="inlineStr">
        <is>
          <t>N04, N05, N11</t>
        </is>
      </c>
      <c r="I62" s="3" t="inlineStr">
        <is>
          <t>R3, R6, R7</t>
        </is>
      </c>
    </row>
    <row r="63">
      <c r="A63" s="3" t="inlineStr">
        <is>
          <t>8.3</t>
        </is>
      </c>
      <c r="B63" s="3" t="inlineStr">
        <is>
          <t>Restriction d'accès à l'information</t>
        </is>
      </c>
      <c r="C63" s="3" t="inlineStr">
        <is>
          <t>technologique</t>
        </is>
      </c>
      <c r="D63" s="3" t="inlineStr">
        <is>
          <t>Oui</t>
        </is>
      </c>
      <c r="E63" s="3" t="inlineStr">
        <is>
          <t>Partielle</t>
        </is>
      </c>
      <c r="F63" s="3" t="inlineStr">
        <is>
          <t>risque, socle</t>
        </is>
      </c>
      <c r="G63" s="3" t="inlineStr">
        <is>
          <t>Retenue pour traiter R1, R2, R3, R5, R6, R7. Corrige l'écart aux règles 9 du socle.</t>
        </is>
      </c>
      <c r="H63" s="3" t="inlineStr">
        <is>
          <t>M06, M07, N10</t>
        </is>
      </c>
      <c r="I63" s="3" t="inlineStr">
        <is>
          <t>R1, R2, R3, R5, R6, R7</t>
        </is>
      </c>
    </row>
    <row r="64">
      <c r="A64" s="3" t="inlineStr">
        <is>
          <t>8.4</t>
        </is>
      </c>
      <c r="B64" s="3" t="inlineStr">
        <is>
          <t>Accès au code source</t>
        </is>
      </c>
      <c r="C64" s="3" t="inlineStr">
        <is>
          <t>technologique</t>
        </is>
      </c>
      <c r="D64" s="3" t="inlineStr">
        <is>
          <t>Oui</t>
        </is>
      </c>
      <c r="E64" s="3" t="inlineStr">
        <is>
          <t>À mettre en œuvre</t>
        </is>
      </c>
      <c r="F64" s="3" t="inlineStr">
        <is>
          <t>bonne pratique</t>
        </is>
      </c>
      <c r="G64" s="3" t="inlineStr">
        <is>
          <t>Aucune mesure ni règle du socle ne la couvre encore ; à traiter dans un cycle ultérieur.</t>
        </is>
      </c>
      <c r="H64" s="3" t="inlineStr"/>
      <c r="I64" s="3" t="inlineStr"/>
    </row>
    <row r="65">
      <c r="A65" s="3" t="inlineStr">
        <is>
          <t>8.5</t>
        </is>
      </c>
      <c r="B65" s="3" t="inlineStr">
        <is>
          <t>Authentification sécurisée</t>
        </is>
      </c>
      <c r="C65" s="3" t="inlineStr">
        <is>
          <t>technologique</t>
        </is>
      </c>
      <c r="D65" s="3" t="inlineStr">
        <is>
          <t>Oui</t>
        </is>
      </c>
      <c r="E65" s="3" t="inlineStr">
        <is>
          <t>Partielle</t>
        </is>
      </c>
      <c r="F65" s="3" t="inlineStr">
        <is>
          <t>risque, socle</t>
        </is>
      </c>
      <c r="G65" s="3" t="inlineStr">
        <is>
          <t>Retenue pour traiter R3, R6, R7. Corrige l'écart aux règles 10, 13 du socle.</t>
        </is>
      </c>
      <c r="H65" s="3" t="inlineStr">
        <is>
          <t>N04</t>
        </is>
      </c>
      <c r="I65" s="3" t="inlineStr">
        <is>
          <t>R3, R6, R7</t>
        </is>
      </c>
    </row>
    <row r="66">
      <c r="A66" s="3" t="inlineStr">
        <is>
          <t>8.6</t>
        </is>
      </c>
      <c r="B66" s="3" t="inlineStr">
        <is>
          <t>Dimensionnement des ressources</t>
        </is>
      </c>
      <c r="C66" s="3" t="inlineStr">
        <is>
          <t>technologique</t>
        </is>
      </c>
      <c r="D66" s="3" t="inlineStr">
        <is>
          <t>Oui</t>
        </is>
      </c>
      <c r="E66" s="3" t="inlineStr">
        <is>
          <t>À mettre en œuvre</t>
        </is>
      </c>
      <c r="F66" s="3" t="inlineStr">
        <is>
          <t>bonne pratique</t>
        </is>
      </c>
      <c r="G66" s="3" t="inlineStr">
        <is>
          <t>Surveiller la capacité de la plateforme, notamment en période de forte activité.</t>
        </is>
      </c>
      <c r="H66" s="3" t="inlineStr"/>
      <c r="I66" s="3" t="inlineStr"/>
    </row>
    <row r="67">
      <c r="A67" s="3" t="inlineStr">
        <is>
          <t>8.7</t>
        </is>
      </c>
      <c r="B67" s="3" t="inlineStr">
        <is>
          <t>Protection contre les logiciels malveillants</t>
        </is>
      </c>
      <c r="C67" s="3" t="inlineStr">
        <is>
          <t>technologique</t>
        </is>
      </c>
      <c r="D67" s="3" t="inlineStr">
        <is>
          <t>Oui</t>
        </is>
      </c>
      <c r="E67" s="3" t="inlineStr">
        <is>
          <t>À mettre en œuvre</t>
        </is>
      </c>
      <c r="F67" s="3" t="inlineStr">
        <is>
          <t>risque, socle</t>
        </is>
      </c>
      <c r="G67" s="3" t="inlineStr">
        <is>
          <t>Retenue pour traiter R1, R6, R7. Corrige l'écart aux règles 14, 24 du socle.</t>
        </is>
      </c>
      <c r="H67" s="3" t="inlineStr">
        <is>
          <t>N07</t>
        </is>
      </c>
      <c r="I67" s="3" t="inlineStr">
        <is>
          <t>R1, R6, R7</t>
        </is>
      </c>
    </row>
    <row r="68">
      <c r="A68" s="3" t="inlineStr">
        <is>
          <t>8.8</t>
        </is>
      </c>
      <c r="B68" s="3" t="inlineStr">
        <is>
          <t>Gestion des vulnérabilités techniques</t>
        </is>
      </c>
      <c r="C68" s="3" t="inlineStr">
        <is>
          <t>technologique</t>
        </is>
      </c>
      <c r="D68" s="3" t="inlineStr">
        <is>
          <t>Oui</t>
        </is>
      </c>
      <c r="E68" s="3" t="inlineStr">
        <is>
          <t>Partielle</t>
        </is>
      </c>
      <c r="F68" s="3" t="inlineStr">
        <is>
          <t>risque, socle</t>
        </is>
      </c>
      <c r="G68" s="3" t="inlineStr">
        <is>
          <t>Retenue pour traiter R1, R4, R5, R6, R7. Corrige l'écart aux règles 34, 35 du socle.</t>
        </is>
      </c>
      <c r="H68" s="3" t="inlineStr">
        <is>
          <t>M02, M09, N02</t>
        </is>
      </c>
      <c r="I68" s="3" t="inlineStr">
        <is>
          <t>R1, R4, R5, R6, R7</t>
        </is>
      </c>
    </row>
    <row r="69">
      <c r="A69" s="3" t="inlineStr">
        <is>
          <t>8.9</t>
        </is>
      </c>
      <c r="B69" s="3" t="inlineStr">
        <is>
          <t>Gestion de la configuration</t>
        </is>
      </c>
      <c r="C69" s="3" t="inlineStr">
        <is>
          <t>technologique</t>
        </is>
      </c>
      <c r="D69" s="3" t="inlineStr">
        <is>
          <t>Oui</t>
        </is>
      </c>
      <c r="E69" s="3" t="inlineStr">
        <is>
          <t>Partielle</t>
        </is>
      </c>
      <c r="F69" s="3" t="inlineStr">
        <is>
          <t>risque, socle</t>
        </is>
      </c>
      <c r="G69" s="3" t="inlineStr">
        <is>
          <t>Retenue pour traiter R1, R4, R5, R6, R7. Corrige l'écart aux règles 12, 14, 16 du socle.</t>
        </is>
      </c>
      <c r="H69" s="3" t="inlineStr">
        <is>
          <t>M09, N07</t>
        </is>
      </c>
      <c r="I69" s="3" t="inlineStr">
        <is>
          <t>R1, R4, R5, R6, R7</t>
        </is>
      </c>
    </row>
    <row r="70">
      <c r="A70" s="3" t="inlineStr">
        <is>
          <t>8.10</t>
        </is>
      </c>
      <c r="B70" s="3" t="inlineStr">
        <is>
          <t>Suppression de l'information</t>
        </is>
      </c>
      <c r="C70" s="3" t="inlineStr">
        <is>
          <t>technologique</t>
        </is>
      </c>
      <c r="D70" s="3" t="inlineStr">
        <is>
          <t>Oui</t>
        </is>
      </c>
      <c r="E70" s="3" t="inlineStr">
        <is>
          <t>À mettre en œuvre</t>
        </is>
      </c>
      <c r="F70" s="3" t="inlineStr">
        <is>
          <t>légal</t>
        </is>
      </c>
      <c r="G70" s="3" t="inlineStr">
        <is>
          <t>Supprimer les données personnelles à la fin de leur durée de conservation réglementaire.</t>
        </is>
      </c>
      <c r="H70" s="3" t="inlineStr"/>
      <c r="I70" s="3" t="inlineStr"/>
    </row>
    <row r="71">
      <c r="A71" s="3" t="inlineStr">
        <is>
          <t>8.11</t>
        </is>
      </c>
      <c r="B71" s="3" t="inlineStr">
        <is>
          <t>Masquage des données</t>
        </is>
      </c>
      <c r="C71" s="3" t="inlineStr">
        <is>
          <t>technologique</t>
        </is>
      </c>
      <c r="D71" s="3" t="inlineStr">
        <is>
          <t>Oui</t>
        </is>
      </c>
      <c r="E71" s="3" t="inlineStr">
        <is>
          <t>À mettre en œuvre</t>
        </is>
      </c>
      <c r="F71" s="3" t="inlineStr">
        <is>
          <t>légal</t>
        </is>
      </c>
      <c r="G71" s="3" t="inlineStr">
        <is>
          <t>Pseudonymiser les données personnelles hors des usages qui l'exigent.</t>
        </is>
      </c>
      <c r="H71" s="3" t="inlineStr"/>
      <c r="I71" s="3" t="inlineStr"/>
    </row>
    <row r="72">
      <c r="A72" s="3" t="inlineStr">
        <is>
          <t>8.12</t>
        </is>
      </c>
      <c r="B72" s="3" t="inlineStr">
        <is>
          <t>Prévention des fuites de données</t>
        </is>
      </c>
      <c r="C72" s="3" t="inlineStr">
        <is>
          <t>technologique</t>
        </is>
      </c>
      <c r="D72" s="3" t="inlineStr">
        <is>
          <t>Oui</t>
        </is>
      </c>
      <c r="E72" s="3" t="inlineStr">
        <is>
          <t>Partielle</t>
        </is>
      </c>
      <c r="F72" s="3" t="inlineStr">
        <is>
          <t>risque</t>
        </is>
      </c>
      <c r="G72" s="3" t="inlineStr">
        <is>
          <t xml:space="preserve">Retenue pour traiter R1, R3, R6, R7. </t>
        </is>
      </c>
      <c r="H72" s="3" t="inlineStr">
        <is>
          <t>M07</t>
        </is>
      </c>
      <c r="I72" s="3" t="inlineStr">
        <is>
          <t>R1, R3, R6, R7</t>
        </is>
      </c>
    </row>
    <row r="73">
      <c r="A73" s="3" t="inlineStr">
        <is>
          <t>8.13</t>
        </is>
      </c>
      <c r="B73" s="3" t="inlineStr">
        <is>
          <t>Sauvegarde de l'information</t>
        </is>
      </c>
      <c r="C73" s="3" t="inlineStr">
        <is>
          <t>technologique</t>
        </is>
      </c>
      <c r="D73" s="3" t="inlineStr">
        <is>
          <t>Oui</t>
        </is>
      </c>
      <c r="E73" s="3" t="inlineStr">
        <is>
          <t>À mettre en œuvre</t>
        </is>
      </c>
      <c r="F73" s="3" t="inlineStr">
        <is>
          <t>risque, socle</t>
        </is>
      </c>
      <c r="G73" s="3" t="inlineStr">
        <is>
          <t>Retenue pour traiter R4, R6, R7. Corrige l'écart aux règles 37 du socle.</t>
        </is>
      </c>
      <c r="H73" s="3" t="inlineStr">
        <is>
          <t>N06</t>
        </is>
      </c>
      <c r="I73" s="3" t="inlineStr">
        <is>
          <t>R4, R6, R7</t>
        </is>
      </c>
    </row>
    <row r="74">
      <c r="A74" s="3" t="inlineStr">
        <is>
          <t>8.14</t>
        </is>
      </c>
      <c r="B74" s="3" t="inlineStr">
        <is>
          <t>Redondance des moyens de traitement</t>
        </is>
      </c>
      <c r="C74" s="3" t="inlineStr">
        <is>
          <t>technologique</t>
        </is>
      </c>
      <c r="D74" s="3" t="inlineStr">
        <is>
          <t>Oui</t>
        </is>
      </c>
      <c r="E74" s="3" t="inlineStr">
        <is>
          <t>Partielle</t>
        </is>
      </c>
      <c r="F74" s="3" t="inlineStr">
        <is>
          <t>risque</t>
        </is>
      </c>
      <c r="G74" s="3" t="inlineStr">
        <is>
          <t xml:space="preserve">Retenue pour traiter R4, R5, R6, R7. </t>
        </is>
      </c>
      <c r="H74" s="3" t="inlineStr">
        <is>
          <t>M12</t>
        </is>
      </c>
      <c r="I74" s="3" t="inlineStr">
        <is>
          <t>R4, R5, R6, R7</t>
        </is>
      </c>
    </row>
    <row r="75">
      <c r="A75" s="3" t="inlineStr">
        <is>
          <t>8.15</t>
        </is>
      </c>
      <c r="B75" s="3" t="inlineStr">
        <is>
          <t>Journalisation</t>
        </is>
      </c>
      <c r="C75" s="3" t="inlineStr">
        <is>
          <t>technologique</t>
        </is>
      </c>
      <c r="D75" s="3" t="inlineStr">
        <is>
          <t>Oui</t>
        </is>
      </c>
      <c r="E75" s="3" t="inlineStr">
        <is>
          <t>À mettre en œuvre</t>
        </is>
      </c>
      <c r="F75" s="3" t="inlineStr">
        <is>
          <t>risque, socle</t>
        </is>
      </c>
      <c r="G75" s="3" t="inlineStr">
        <is>
          <t>Retenue pour traiter R1, R3, R5, R6, R7. Corrige l'écart aux règles 36 du socle.</t>
        </is>
      </c>
      <c r="H75" s="3" t="inlineStr">
        <is>
          <t>M11, N10</t>
        </is>
      </c>
      <c r="I75" s="3" t="inlineStr">
        <is>
          <t>R1, R3, R5, R6, R7</t>
        </is>
      </c>
    </row>
    <row r="76">
      <c r="A76" s="3" t="inlineStr">
        <is>
          <t>8.16</t>
        </is>
      </c>
      <c r="B76" s="3" t="inlineStr">
        <is>
          <t>Activités de surveillance</t>
        </is>
      </c>
      <c r="C76" s="3" t="inlineStr">
        <is>
          <t>technologique</t>
        </is>
      </c>
      <c r="D76" s="3" t="inlineStr">
        <is>
          <t>Oui</t>
        </is>
      </c>
      <c r="E76" s="3" t="inlineStr">
        <is>
          <t>À mettre en œuvre</t>
        </is>
      </c>
      <c r="F76" s="3" t="inlineStr">
        <is>
          <t>risque, socle</t>
        </is>
      </c>
      <c r="G76" s="3" t="inlineStr">
        <is>
          <t>Retenue pour traiter R1, R3, R4, R5, R6, R7. Corrige l'écart aux règles 36 du socle.</t>
        </is>
      </c>
      <c r="H76" s="3" t="inlineStr">
        <is>
          <t>M11, N13</t>
        </is>
      </c>
      <c r="I76" s="3" t="inlineStr">
        <is>
          <t>R1, R3, R4, R5, R6, R7</t>
        </is>
      </c>
    </row>
    <row r="77">
      <c r="A77" s="3" t="inlineStr">
        <is>
          <t>8.17</t>
        </is>
      </c>
      <c r="B77" s="3" t="inlineStr">
        <is>
          <t>Synchronisation des horloges</t>
        </is>
      </c>
      <c r="C77" s="3" t="inlineStr">
        <is>
          <t>technologique</t>
        </is>
      </c>
      <c r="D77" s="3" t="inlineStr">
        <is>
          <t>Oui</t>
        </is>
      </c>
      <c r="E77" s="3" t="inlineStr">
        <is>
          <t>À mettre en œuvre</t>
        </is>
      </c>
      <c r="F77" s="3" t="inlineStr">
        <is>
          <t>risque, socle</t>
        </is>
      </c>
      <c r="G77" s="3" t="inlineStr">
        <is>
          <t>Retenue pour traiter R1, R3, R6, R7. Corrige l'écart aux règles 36 du socle.</t>
        </is>
      </c>
      <c r="H77" s="3" t="inlineStr">
        <is>
          <t>M11</t>
        </is>
      </c>
      <c r="I77" s="3" t="inlineStr">
        <is>
          <t>R1, R3, R6, R7</t>
        </is>
      </c>
    </row>
    <row r="78">
      <c r="A78" s="3" t="inlineStr">
        <is>
          <t>8.18</t>
        </is>
      </c>
      <c r="B78" s="3" t="inlineStr">
        <is>
          <t>Utilisation de programmes utilitaires à privilèges</t>
        </is>
      </c>
      <c r="C78" s="3" t="inlineStr">
        <is>
          <t>technologique</t>
        </is>
      </c>
      <c r="D78" s="3" t="inlineStr">
        <is>
          <t>Oui</t>
        </is>
      </c>
      <c r="E78" s="3" t="inlineStr">
        <is>
          <t>Partielle</t>
        </is>
      </c>
      <c r="F78" s="3" t="inlineStr">
        <is>
          <t>risque, socle</t>
        </is>
      </c>
      <c r="G78" s="3" t="inlineStr">
        <is>
          <t>Retenue pour traiter R1, R6, R7. Corrige l'écart aux règles 29 du socle.</t>
        </is>
      </c>
      <c r="H78" s="3" t="inlineStr">
        <is>
          <t>N07</t>
        </is>
      </c>
      <c r="I78" s="3" t="inlineStr">
        <is>
          <t>R1, R6, R7</t>
        </is>
      </c>
    </row>
    <row r="79">
      <c r="A79" s="3" t="inlineStr">
        <is>
          <t>8.19</t>
        </is>
      </c>
      <c r="B79" s="3" t="inlineStr">
        <is>
          <t>Installation de logiciels sur les systèmes en exploitation</t>
        </is>
      </c>
      <c r="C79" s="3" t="inlineStr">
        <is>
          <t>technologique</t>
        </is>
      </c>
      <c r="D79" s="3" t="inlineStr">
        <is>
          <t>Oui</t>
        </is>
      </c>
      <c r="E79" s="3" t="inlineStr">
        <is>
          <t>Partielle</t>
        </is>
      </c>
      <c r="F79" s="3" t="inlineStr">
        <is>
          <t>risque, socle</t>
        </is>
      </c>
      <c r="G79" s="3" t="inlineStr">
        <is>
          <t>Retenue pour traiter R1, R4, R6, R7. Corrige l'écart aux règles 34 du socle.</t>
        </is>
      </c>
      <c r="H79" s="3" t="inlineStr">
        <is>
          <t>M13, N02</t>
        </is>
      </c>
      <c r="I79" s="3" t="inlineStr">
        <is>
          <t>R1, R4, R6, R7</t>
        </is>
      </c>
    </row>
    <row r="80">
      <c r="A80" s="3" t="inlineStr">
        <is>
          <t>8.20</t>
        </is>
      </c>
      <c r="B80" s="3" t="inlineStr">
        <is>
          <t>Sécurité des réseaux</t>
        </is>
      </c>
      <c r="C80" s="3" t="inlineStr">
        <is>
          <t>technologique</t>
        </is>
      </c>
      <c r="D80" s="3" t="inlineStr">
        <is>
          <t>Oui</t>
        </is>
      </c>
      <c r="E80" s="3" t="inlineStr">
        <is>
          <t>Partielle</t>
        </is>
      </c>
      <c r="F80" s="3" t="inlineStr">
        <is>
          <t>risque, socle</t>
        </is>
      </c>
      <c r="G80" s="3" t="inlineStr">
        <is>
          <t>Retenue pour traiter R1, R6, R7. Corrige l'écart aux règles 7, 17, 20, 22, 23, 25, 32 du socle.</t>
        </is>
      </c>
      <c r="H80" s="3" t="inlineStr">
        <is>
          <t>N01</t>
        </is>
      </c>
      <c r="I80" s="3" t="inlineStr">
        <is>
          <t>R1, R6, R7</t>
        </is>
      </c>
    </row>
    <row r="81">
      <c r="A81" s="3" t="inlineStr">
        <is>
          <t>8.21</t>
        </is>
      </c>
      <c r="B81" s="3" t="inlineStr">
        <is>
          <t>Sécurité des services réseau</t>
        </is>
      </c>
      <c r="C81" s="3" t="inlineStr">
        <is>
          <t>technologique</t>
        </is>
      </c>
      <c r="D81" s="3" t="inlineStr">
        <is>
          <t>Oui</t>
        </is>
      </c>
      <c r="E81" s="3" t="inlineStr">
        <is>
          <t>Partielle</t>
        </is>
      </c>
      <c r="F81" s="3" t="inlineStr">
        <is>
          <t>risque, socle</t>
        </is>
      </c>
      <c r="G81" s="3" t="inlineStr">
        <is>
          <t>Retenue pour traiter R2. Corrige l'écart aux règles 20, 21, 25, 32 du socle.</t>
        </is>
      </c>
      <c r="H81" s="3" t="inlineStr">
        <is>
          <t>M10</t>
        </is>
      </c>
      <c r="I81" s="3" t="inlineStr">
        <is>
          <t>R2</t>
        </is>
      </c>
    </row>
    <row r="82">
      <c r="A82" s="3" t="inlineStr">
        <is>
          <t>8.22</t>
        </is>
      </c>
      <c r="B82" s="3" t="inlineStr">
        <is>
          <t>Cloisonnement des réseaux</t>
        </is>
      </c>
      <c r="C82" s="3" t="inlineStr">
        <is>
          <t>technologique</t>
        </is>
      </c>
      <c r="D82" s="3" t="inlineStr">
        <is>
          <t>Oui</t>
        </is>
      </c>
      <c r="E82" s="3" t="inlineStr">
        <is>
          <t>Partielle</t>
        </is>
      </c>
      <c r="F82" s="3" t="inlineStr">
        <is>
          <t>risque, socle</t>
        </is>
      </c>
      <c r="G82" s="3" t="inlineStr">
        <is>
          <t>Retenue pour traiter R1, R3, R4, R5, R6, R7. Corrige l'écart aux règles 19, 20, 23, 28 du socle.</t>
        </is>
      </c>
      <c r="H82" s="3" t="inlineStr">
        <is>
          <t>M07, M09, N01</t>
        </is>
      </c>
      <c r="I82" s="3" t="inlineStr">
        <is>
          <t>R1, R3, R4, R5, R6, R7</t>
        </is>
      </c>
    </row>
    <row r="83">
      <c r="A83" s="3" t="inlineStr">
        <is>
          <t>8.23</t>
        </is>
      </c>
      <c r="B83" s="3" t="inlineStr">
        <is>
          <t>Filtrage web</t>
        </is>
      </c>
      <c r="C83" s="3" t="inlineStr">
        <is>
          <t>technologique</t>
        </is>
      </c>
      <c r="D83" s="3" t="inlineStr">
        <is>
          <t>Oui</t>
        </is>
      </c>
      <c r="E83" s="3" t="inlineStr">
        <is>
          <t>Partielle</t>
        </is>
      </c>
      <c r="F83" s="3" t="inlineStr">
        <is>
          <t>risque, socle</t>
        </is>
      </c>
      <c r="G83" s="3" t="inlineStr">
        <is>
          <t>Retenue pour traiter R1, R6, R7. Corrige l'écart aux règles 22, 24, 27 du socle.</t>
        </is>
      </c>
      <c r="H83" s="3" t="inlineStr">
        <is>
          <t>N07</t>
        </is>
      </c>
      <c r="I83" s="3" t="inlineStr">
        <is>
          <t>R1, R6, R7</t>
        </is>
      </c>
    </row>
    <row r="84">
      <c r="A84" s="3" t="inlineStr">
        <is>
          <t>8.24</t>
        </is>
      </c>
      <c r="B84" s="3" t="inlineStr">
        <is>
          <t>Utilisation de la cryptographie</t>
        </is>
      </c>
      <c r="C84" s="3" t="inlineStr">
        <is>
          <t>technologique</t>
        </is>
      </c>
      <c r="D84" s="3" t="inlineStr">
        <is>
          <t>Oui</t>
        </is>
      </c>
      <c r="E84" s="3" t="inlineStr">
        <is>
          <t>Partielle</t>
        </is>
      </c>
      <c r="F84" s="3" t="inlineStr">
        <is>
          <t>risque, socle</t>
        </is>
      </c>
      <c r="G84" s="3" t="inlineStr">
        <is>
          <t>Retenue pour traiter R1, R2, R3, R5, R6, R7. Corrige l'écart aux règles 11, 18, 21, 31 du socle.</t>
        </is>
      </c>
      <c r="H84" s="3" t="inlineStr">
        <is>
          <t>M07, M10, N07, N10</t>
        </is>
      </c>
      <c r="I84" s="3" t="inlineStr">
        <is>
          <t>R1, R2, R3, R5, R6, R7</t>
        </is>
      </c>
    </row>
    <row r="85">
      <c r="A85" s="3" t="inlineStr">
        <is>
          <t>8.25</t>
        </is>
      </c>
      <c r="B85" s="3" t="inlineStr">
        <is>
          <t>Cycle de développement sécurisé</t>
        </is>
      </c>
      <c r="C85" s="3" t="inlineStr">
        <is>
          <t>technologique</t>
        </is>
      </c>
      <c r="D85" s="3" t="inlineStr">
        <is>
          <t>Oui</t>
        </is>
      </c>
      <c r="E85" s="3" t="inlineStr">
        <is>
          <t>À mettre en œuvre</t>
        </is>
      </c>
      <c r="F85" s="3" t="inlineStr">
        <is>
          <t>bonne pratique</t>
        </is>
      </c>
      <c r="G85" s="3" t="inlineStr">
        <is>
          <t>Aucune mesure ni règle du socle ne la couvre encore ; à traiter dans un cycle ultérieur.</t>
        </is>
      </c>
      <c r="H85" s="3" t="inlineStr"/>
      <c r="I85" s="3" t="inlineStr"/>
    </row>
    <row r="86">
      <c r="A86" s="3" t="inlineStr">
        <is>
          <t>8.26</t>
        </is>
      </c>
      <c r="B86" s="3" t="inlineStr">
        <is>
          <t>Exigences de sécurité des applications</t>
        </is>
      </c>
      <c r="C86" s="3" t="inlineStr">
        <is>
          <t>technologique</t>
        </is>
      </c>
      <c r="D86" s="3" t="inlineStr">
        <is>
          <t>Oui</t>
        </is>
      </c>
      <c r="E86" s="3" t="inlineStr">
        <is>
          <t>À mettre en œuvre</t>
        </is>
      </c>
      <c r="F86" s="3" t="inlineStr">
        <is>
          <t>bonne pratique</t>
        </is>
      </c>
      <c r="G86" s="3" t="inlineStr">
        <is>
          <t>Exigences de sécurité dans les cahiers des charges des systèmes acquis.</t>
        </is>
      </c>
      <c r="H86" s="3" t="inlineStr"/>
      <c r="I86" s="3" t="inlineStr"/>
    </row>
    <row r="87">
      <c r="A87" s="3" t="inlineStr">
        <is>
          <t>8.27</t>
        </is>
      </c>
      <c r="B87" s="3" t="inlineStr">
        <is>
          <t>Architecture et principes d'ingénierie sécurisés</t>
        </is>
      </c>
      <c r="C87" s="3" t="inlineStr">
        <is>
          <t>technologique</t>
        </is>
      </c>
      <c r="D87" s="3" t="inlineStr">
        <is>
          <t>Oui</t>
        </is>
      </c>
      <c r="E87" s="3" t="inlineStr">
        <is>
          <t>À mettre en œuvre</t>
        </is>
      </c>
      <c r="F87" s="3" t="inlineStr">
        <is>
          <t>bonne pratique</t>
        </is>
      </c>
      <c r="G87" s="3" t="inlineStr">
        <is>
          <t>Principes d'architecture sécurisée (moindre privilège, défense en profondeur).</t>
        </is>
      </c>
      <c r="H87" s="3" t="inlineStr"/>
      <c r="I87" s="3" t="inlineStr"/>
    </row>
    <row r="88">
      <c r="A88" s="3" t="inlineStr">
        <is>
          <t>8.28</t>
        </is>
      </c>
      <c r="B88" s="3" t="inlineStr">
        <is>
          <t>Codage sécurisé</t>
        </is>
      </c>
      <c r="C88" s="3" t="inlineStr">
        <is>
          <t>technologique</t>
        </is>
      </c>
      <c r="D88" s="3" t="inlineStr">
        <is>
          <t>Oui</t>
        </is>
      </c>
      <c r="E88" s="3" t="inlineStr">
        <is>
          <t>À mettre en œuvre</t>
        </is>
      </c>
      <c r="F88" s="3" t="inlineStr">
        <is>
          <t>bonne pratique</t>
        </is>
      </c>
      <c r="G88" s="3" t="inlineStr">
        <is>
          <t>Aucune mesure ni règle du socle ne la couvre encore ; à traiter dans un cycle ultérieur.</t>
        </is>
      </c>
      <c r="H88" s="3" t="inlineStr"/>
      <c r="I88" s="3" t="inlineStr"/>
    </row>
    <row r="89">
      <c r="A89" s="3" t="inlineStr">
        <is>
          <t>8.29</t>
        </is>
      </c>
      <c r="B89" s="3" t="inlineStr">
        <is>
          <t>Tests de sécurité en développement et à la recette</t>
        </is>
      </c>
      <c r="C89" s="3" t="inlineStr">
        <is>
          <t>technologique</t>
        </is>
      </c>
      <c r="D89" s="3" t="inlineStr">
        <is>
          <t>Oui</t>
        </is>
      </c>
      <c r="E89" s="3" t="inlineStr">
        <is>
          <t>À mettre en œuvre</t>
        </is>
      </c>
      <c r="F89" s="3" t="inlineStr">
        <is>
          <t>bonne pratique</t>
        </is>
      </c>
      <c r="G89" s="3" t="inlineStr">
        <is>
          <t>Tests de sécurité à la recette des systèmes développés ou acquis.</t>
        </is>
      </c>
      <c r="H89" s="3" t="inlineStr"/>
      <c r="I89" s="3" t="inlineStr"/>
    </row>
    <row r="90">
      <c r="A90" s="3" t="inlineStr">
        <is>
          <t>8.30</t>
        </is>
      </c>
      <c r="B90" s="3" t="inlineStr">
        <is>
          <t>Développement externalisé</t>
        </is>
      </c>
      <c r="C90" s="3" t="inlineStr">
        <is>
          <t>technologique</t>
        </is>
      </c>
      <c r="D90" s="3" t="inlineStr">
        <is>
          <t>Non</t>
        </is>
      </c>
      <c r="E90" s="3" t="inlineStr">
        <is>
          <t>Exclue</t>
        </is>
      </c>
      <c r="F90" s="3" t="inlineStr"/>
      <c r="G90" s="3" t="inlineStr">
        <is>
          <t>Aucun développement n'est sous-traité en dehors du centre technique intégré de Casablanca.</t>
        </is>
      </c>
      <c r="H90" s="3" t="inlineStr"/>
      <c r="I90" s="3" t="inlineStr"/>
    </row>
    <row r="91">
      <c r="A91" s="3" t="inlineStr">
        <is>
          <t>8.31</t>
        </is>
      </c>
      <c r="B91" s="3" t="inlineStr">
        <is>
          <t>Séparation des environnements de développement, de test et de production</t>
        </is>
      </c>
      <c r="C91" s="3" t="inlineStr">
        <is>
          <t>technologique</t>
        </is>
      </c>
      <c r="D91" s="3" t="inlineStr">
        <is>
          <t>Oui</t>
        </is>
      </c>
      <c r="E91" s="3" t="inlineStr">
        <is>
          <t>Partielle</t>
        </is>
      </c>
      <c r="F91" s="3" t="inlineStr">
        <is>
          <t>bonne pratique</t>
        </is>
      </c>
      <c r="G91" s="3" t="inlineStr">
        <is>
          <t>Séparation des environnements de test et de production sur la plateforme transactionnelle.</t>
        </is>
      </c>
      <c r="H91" s="3" t="inlineStr"/>
      <c r="I91" s="3" t="inlineStr"/>
    </row>
    <row r="92">
      <c r="A92" s="3" t="inlineStr">
        <is>
          <t>8.32</t>
        </is>
      </c>
      <c r="B92" s="3" t="inlineStr">
        <is>
          <t>Gestion des changements</t>
        </is>
      </c>
      <c r="C92" s="3" t="inlineStr">
        <is>
          <t>technologique</t>
        </is>
      </c>
      <c r="D92" s="3" t="inlineStr">
        <is>
          <t>Oui</t>
        </is>
      </c>
      <c r="E92" s="3" t="inlineStr">
        <is>
          <t>Partielle</t>
        </is>
      </c>
      <c r="F92" s="3" t="inlineStr">
        <is>
          <t>légal</t>
        </is>
      </c>
      <c r="G92" s="3" t="inlineStr">
        <is>
          <t>Contrôle des changements existant côté produit ; il reste à y ajouter le volet sécurité.</t>
        </is>
      </c>
      <c r="H92" s="3" t="inlineStr"/>
      <c r="I92" s="3" t="inlineStr"/>
    </row>
    <row r="93">
      <c r="A93" s="3" t="inlineStr">
        <is>
          <t>8.33</t>
        </is>
      </c>
      <c r="B93" s="3" t="inlineStr">
        <is>
          <t>Informations de test</t>
        </is>
      </c>
      <c r="C93" s="3" t="inlineStr">
        <is>
          <t>technologique</t>
        </is>
      </c>
      <c r="D93" s="3" t="inlineStr">
        <is>
          <t>Oui</t>
        </is>
      </c>
      <c r="E93" s="3" t="inlineStr">
        <is>
          <t>À mettre en œuvre</t>
        </is>
      </c>
      <c r="F93" s="3" t="inlineStr">
        <is>
          <t>bonne pratique</t>
        </is>
      </c>
      <c r="G93" s="3" t="inlineStr">
        <is>
          <t>Protéger les données utilisées pour les tests, en particulier les données personnelles.</t>
        </is>
      </c>
      <c r="H93" s="3" t="inlineStr"/>
      <c r="I93" s="3" t="inlineStr"/>
    </row>
    <row r="94">
      <c r="A94" s="3" t="inlineStr">
        <is>
          <t>8.34</t>
        </is>
      </c>
      <c r="B94" s="3" t="inlineStr">
        <is>
          <t>Protection des systèmes pendant les tests d'audit</t>
        </is>
      </c>
      <c r="C94" s="3" t="inlineStr">
        <is>
          <t>technologique</t>
        </is>
      </c>
      <c r="D94" s="3" t="inlineStr">
        <is>
          <t>Oui</t>
        </is>
      </c>
      <c r="E94" s="3" t="inlineStr">
        <is>
          <t>Partielle</t>
        </is>
      </c>
      <c r="F94" s="3" t="inlineStr">
        <is>
          <t>risque, socle</t>
        </is>
      </c>
      <c r="G94" s="3" t="inlineStr">
        <is>
          <t>Retenue pour traiter R1, R5, R6, R7. Corrige l'écart aux règles 38 du socle.</t>
        </is>
      </c>
      <c r="H94" s="3" t="inlineStr">
        <is>
          <t>M02</t>
        </is>
      </c>
      <c r="I94" s="3" t="inlineStr">
        <is>
          <t>R1, R5, R6, R7</t>
        </is>
      </c>
    </row>
  </sheetData>
  <autoFilter ref="A1:I9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1" customWidth="1" min="3" max="3"/>
    <col width="30" customWidth="1" min="4" max="4"/>
    <col width="11" customWidth="1" min="5" max="5"/>
    <col width="13" customWidth="1" min="6" max="6"/>
  </cols>
  <sheetData>
    <row r="1">
      <c r="A1" s="2" t="inlineStr">
        <is>
          <t>Réf.</t>
        </is>
      </c>
      <c r="B1" s="2" t="inlineStr">
        <is>
          <t>Indicateur</t>
        </is>
      </c>
      <c r="C1" s="2" t="inlineStr">
        <is>
          <t>Situation de départ</t>
        </is>
      </c>
      <c r="D1" s="2" t="inlineStr">
        <is>
          <t>Cible</t>
        </is>
      </c>
      <c r="E1" s="2" t="inlineStr">
        <is>
          <t>Fréquence</t>
        </is>
      </c>
      <c r="F1" s="2" t="inlineStr">
        <is>
          <t>Responsable</t>
        </is>
      </c>
    </row>
    <row r="2">
      <c r="A2" s="3" t="inlineStr">
        <is>
          <t>I01</t>
        </is>
      </c>
      <c r="B2" s="3" t="inlineStr">
        <is>
          <t>Règles du socle appliquées sans restriction</t>
        </is>
      </c>
      <c r="C2" s="3" t="inlineStr">
        <is>
          <t>1 sur 42</t>
        </is>
      </c>
      <c r="D2" s="3" t="inlineStr">
        <is>
          <t>30 sur 42 à 12 mois</t>
        </is>
      </c>
      <c r="E2" s="3" t="inlineStr">
        <is>
          <t>Semestrielle</t>
        </is>
      </c>
      <c r="F2" s="3" t="inlineStr">
        <is>
          <t>RSSI</t>
        </is>
      </c>
    </row>
    <row r="3">
      <c r="A3" s="3" t="inlineStr">
        <is>
          <t>I02</t>
        </is>
      </c>
      <c r="B3" s="3" t="inlineStr">
        <is>
          <t>Mesures du plan de traitement terminées</t>
        </is>
      </c>
      <c r="C3" s="3" t="inlineStr">
        <is>
          <t>2 sur 26</t>
        </is>
      </c>
      <c r="D3" s="3" t="inlineStr">
        <is>
          <t>70 % à 12 mois</t>
        </is>
      </c>
      <c r="E3" s="3" t="inlineStr">
        <is>
          <t>Semestrielle</t>
        </is>
      </c>
      <c r="F3" s="3" t="inlineStr">
        <is>
          <t>RSSI</t>
        </is>
      </c>
    </row>
    <row r="4">
      <c r="A4" s="3" t="inlineStr">
        <is>
          <t>I03</t>
        </is>
      </c>
      <c r="B4" s="3" t="inlineStr">
        <is>
          <t>Risques résiduels de niveau élevé</t>
        </is>
      </c>
      <c r="C4" s="3" t="inlineStr">
        <is>
          <t>5 avant traitement</t>
        </is>
      </c>
      <c r="D4" s="3" t="inlineStr">
        <is>
          <t>1 (R3, sous acceptation formelle)</t>
        </is>
      </c>
      <c r="E4" s="3" t="inlineStr">
        <is>
          <t>Semestrielle</t>
        </is>
      </c>
      <c r="F4" s="3" t="inlineStr">
        <is>
          <t>Direction générale</t>
        </is>
      </c>
    </row>
    <row r="5">
      <c r="A5" s="3" t="inlineStr">
        <is>
          <t>I04</t>
        </is>
      </c>
      <c r="B5" s="3" t="inlineStr">
        <is>
          <t>Délai d'application des correctifs critiques</t>
        </is>
      </c>
      <c r="C5" s="3" t="inlineStr">
        <is>
          <t>Non mesuré</t>
        </is>
      </c>
      <c r="D5" s="3" t="inlineStr">
        <is>
          <t>30 jours ou moins</t>
        </is>
      </c>
      <c r="E5" s="3" t="inlineStr">
        <is>
          <t>Trimestrielle</t>
        </is>
      </c>
      <c r="F5" s="3" t="inlineStr">
        <is>
          <t>DSI</t>
        </is>
      </c>
    </row>
    <row r="6">
      <c r="A6" s="3" t="inlineStr">
        <is>
          <t>I05</t>
        </is>
      </c>
      <c r="B6" s="3" t="inlineStr">
        <is>
          <t>Salariés sensibilisés à l'hameçonnage dans l'année</t>
        </is>
      </c>
      <c r="C6" s="3" t="inlineStr">
        <is>
          <t>0 %</t>
        </is>
      </c>
      <c r="D6" s="3" t="inlineStr">
        <is>
          <t>95 % ou plus</t>
        </is>
      </c>
      <c r="E6" s="3" t="inlineStr">
        <is>
          <t>Annuelle</t>
        </is>
      </c>
      <c r="F6" s="3" t="inlineStr">
        <is>
          <t>RSSI</t>
        </is>
      </c>
    </row>
    <row r="7">
      <c r="A7" s="3" t="inlineStr">
        <is>
          <t>I06</t>
        </is>
      </c>
      <c r="B7" s="3" t="inlineStr">
        <is>
          <t>Taux de clic lors d'une campagne d'hameçonnage simulée</t>
        </is>
      </c>
      <c r="C7" s="3" t="inlineStr">
        <is>
          <t>Non mesuré</t>
        </is>
      </c>
      <c r="D7" s="3" t="inlineStr">
        <is>
          <t>moins de 10 %</t>
        </is>
      </c>
      <c r="E7" s="3" t="inlineStr">
        <is>
          <t>Semestrielle</t>
        </is>
      </c>
      <c r="F7" s="3" t="inlineStr">
        <is>
          <t>RSSI</t>
        </is>
      </c>
    </row>
    <row r="8">
      <c r="A8" s="3" t="inlineStr">
        <is>
          <t>I07</t>
        </is>
      </c>
      <c r="B8" s="3" t="inlineStr">
        <is>
          <t>Prestataires critiques audités</t>
        </is>
      </c>
      <c r="C8" s="3" t="inlineStr">
        <is>
          <t>0 sur 3</t>
        </is>
      </c>
      <c r="D8" s="3" t="inlineStr">
        <is>
          <t>3 sur 3 à 12 mois</t>
        </is>
      </c>
      <c r="E8" s="3" t="inlineStr">
        <is>
          <t>Semestrielle</t>
        </is>
      </c>
      <c r="F8" s="3" t="inlineStr">
        <is>
          <t>RSSI</t>
        </is>
      </c>
    </row>
    <row r="9">
      <c r="A9" s="3" t="inlineStr">
        <is>
          <t>I08</t>
        </is>
      </c>
      <c r="B9" s="3" t="inlineStr">
        <is>
          <t>Tests de restauration des sauvegardes réussis</t>
        </is>
      </c>
      <c r="C9" s="3" t="inlineStr">
        <is>
          <t>Aucun test</t>
        </is>
      </c>
      <c r="D9" s="3" t="inlineStr">
        <is>
          <t>100 %, deux tests par an</t>
        </is>
      </c>
      <c r="E9" s="3" t="inlineStr">
        <is>
          <t>Semestrielle</t>
        </is>
      </c>
      <c r="F9" s="3" t="inlineStr">
        <is>
          <t>DSI</t>
        </is>
      </c>
    </row>
    <row r="10">
      <c r="A10" s="3" t="inlineStr">
        <is>
          <t>I09</t>
        </is>
      </c>
      <c r="B10" s="3" t="inlineStr">
        <is>
          <t>Comptes privilégiés nominatifs et inventoriés</t>
        </is>
      </c>
      <c r="C10" s="3" t="inlineStr">
        <is>
          <t>Non mesuré</t>
        </is>
      </c>
      <c r="D10" s="3" t="inlineStr">
        <is>
          <t>100 %</t>
        </is>
      </c>
      <c r="E10" s="3" t="inlineStr">
        <is>
          <t>Trimestrielle</t>
        </is>
      </c>
      <c r="F10" s="3" t="inlineStr">
        <is>
          <t>DSI</t>
        </is>
      </c>
    </row>
    <row r="11">
      <c r="A11" s="3" t="inlineStr">
        <is>
          <t>I10</t>
        </is>
      </c>
      <c r="B11" s="3" t="inlineStr">
        <is>
          <t>Fraudes détectées avant règlement de la transaction</t>
        </is>
      </c>
      <c r="C11" s="3" t="inlineStr">
        <is>
          <t>Non mesuré</t>
        </is>
      </c>
      <c r="D11" s="3" t="inlineStr">
        <is>
          <t>95 % ou plus</t>
        </is>
      </c>
      <c r="E11" s="3" t="inlineStr">
        <is>
          <t>Mensuelle</t>
        </is>
      </c>
      <c r="F11" s="3" t="inlineStr">
        <is>
          <t>RCCI</t>
        </is>
      </c>
    </row>
  </sheetData>
  <autoFilter ref="A1:F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Réf.</t>
        </is>
      </c>
      <c r="B1" s="2" t="inlineStr">
        <is>
          <t>Score initial</t>
        </is>
      </c>
      <c r="C1" s="2" t="inlineStr">
        <is>
          <t>T0 (aujourd'hui)</t>
        </is>
      </c>
      <c r="D1" s="2" t="inlineStr">
        <is>
          <t>Niveau</t>
        </is>
      </c>
      <c r="E1" s="2" t="inlineStr">
        <is>
          <t>T0+6 mois</t>
        </is>
      </c>
      <c r="F1" s="2" t="inlineStr">
        <is>
          <t>Niveau</t>
        </is>
      </c>
      <c r="G1" s="2" t="inlineStr">
        <is>
          <t>T0+12 mois</t>
        </is>
      </c>
      <c r="H1" s="2" t="inlineStr">
        <is>
          <t>Niveau</t>
        </is>
      </c>
      <c r="I1" s="2" t="inlineStr">
        <is>
          <t>T0+18 mois</t>
        </is>
      </c>
      <c r="J1" s="2" t="inlineStr">
        <is>
          <t>Niveau</t>
        </is>
      </c>
      <c r="K1" s="2" t="inlineStr">
        <is>
          <t>Score cible</t>
        </is>
      </c>
      <c r="L1" s="2" t="inlineStr">
        <is>
          <t>Niveau cible</t>
        </is>
      </c>
    </row>
    <row r="2">
      <c r="A2" t="inlineStr">
        <is>
          <t>R1</t>
        </is>
      </c>
      <c r="B2" t="n">
        <v>9</v>
      </c>
      <c r="C2" t="n">
        <v>8.699999999999999</v>
      </c>
      <c r="D2">
        <f>IF(C2&gt;=8,"Élevé",IF(C2&gt;=4,"Moyen","Faible"))</f>
        <v/>
      </c>
      <c r="E2" t="n">
        <v>7.2</v>
      </c>
      <c r="F2">
        <f>IF(E2&gt;=8,"Élevé",IF(E2&gt;=4,"Moyen","Faible"))</f>
        <v/>
      </c>
      <c r="G2" t="n">
        <v>6</v>
      </c>
      <c r="H2">
        <f>IF(G2&gt;=8,"Élevé",IF(G2&gt;=4,"Moyen","Faible"))</f>
        <v/>
      </c>
      <c r="I2" t="n">
        <v>6</v>
      </c>
      <c r="J2">
        <f>IF(I2&gt;=8,"Élevé",IF(I2&gt;=4,"Moyen","Faible"))</f>
        <v/>
      </c>
      <c r="K2" t="n">
        <v>6</v>
      </c>
      <c r="L2">
        <f>IF(K2&gt;=8,"Élevé",IF(K2&gt;=4,"Moyen","Faible"))</f>
        <v/>
      </c>
    </row>
    <row r="3">
      <c r="A3" t="inlineStr">
        <is>
          <t>R2</t>
        </is>
      </c>
      <c r="B3" t="n">
        <v>6</v>
      </c>
      <c r="C3" t="n">
        <v>5.5</v>
      </c>
      <c r="D3">
        <f>IF(C3&gt;=8,"Élevé",IF(C3&gt;=4,"Moyen","Faible"))</f>
        <v/>
      </c>
      <c r="E3" t="n">
        <v>4</v>
      </c>
      <c r="F3">
        <f>IF(E3&gt;=8,"Élevé",IF(E3&gt;=4,"Moyen","Faible"))</f>
        <v/>
      </c>
      <c r="G3" t="n">
        <v>3.5</v>
      </c>
      <c r="H3">
        <f>IF(G3&gt;=8,"Élevé",IF(G3&gt;=4,"Moyen","Faible"))</f>
        <v/>
      </c>
      <c r="I3" t="n">
        <v>3</v>
      </c>
      <c r="J3">
        <f>IF(I3&gt;=8,"Élevé",IF(I3&gt;=4,"Moyen","Faible"))</f>
        <v/>
      </c>
      <c r="K3" t="n">
        <v>3</v>
      </c>
      <c r="L3">
        <f>IF(K3&gt;=8,"Élevé",IF(K3&gt;=4,"Moyen","Faible"))</f>
        <v/>
      </c>
    </row>
    <row r="4">
      <c r="A4" t="inlineStr">
        <is>
          <t>R3</t>
        </is>
      </c>
      <c r="B4" t="n">
        <v>12</v>
      </c>
      <c r="C4" t="n">
        <v>12</v>
      </c>
      <c r="D4">
        <f>IF(C4&gt;=8,"Élevé",IF(C4&gt;=4,"Moyen","Faible"))</f>
        <v/>
      </c>
      <c r="E4" t="n">
        <v>10</v>
      </c>
      <c r="F4">
        <f>IF(E4&gt;=8,"Élevé",IF(E4&gt;=4,"Moyen","Faible"))</f>
        <v/>
      </c>
      <c r="G4" t="n">
        <v>9.300000000000001</v>
      </c>
      <c r="H4">
        <f>IF(G4&gt;=8,"Élevé",IF(G4&gt;=4,"Moyen","Faible"))</f>
        <v/>
      </c>
      <c r="I4" t="n">
        <v>9</v>
      </c>
      <c r="J4">
        <f>IF(I4&gt;=8,"Élevé",IF(I4&gt;=4,"Moyen","Faible"))</f>
        <v/>
      </c>
      <c r="K4" t="n">
        <v>9</v>
      </c>
      <c r="L4">
        <f>IF(K4&gt;=8,"Élevé",IF(K4&gt;=4,"Moyen","Faible"))</f>
        <v/>
      </c>
    </row>
    <row r="5">
      <c r="A5" t="inlineStr">
        <is>
          <t>R4</t>
        </is>
      </c>
      <c r="B5" t="n">
        <v>8</v>
      </c>
      <c r="C5" t="n">
        <v>8</v>
      </c>
      <c r="D5">
        <f>IF(C5&gt;=8,"Élevé",IF(C5&gt;=4,"Moyen","Faible"))</f>
        <v/>
      </c>
      <c r="E5" t="n">
        <v>5.6</v>
      </c>
      <c r="F5">
        <f>IF(E5&gt;=8,"Élevé",IF(E5&gt;=4,"Moyen","Faible"))</f>
        <v/>
      </c>
      <c r="G5" t="n">
        <v>4.4</v>
      </c>
      <c r="H5">
        <f>IF(G5&gt;=8,"Élevé",IF(G5&gt;=4,"Moyen","Faible"))</f>
        <v/>
      </c>
      <c r="I5" t="n">
        <v>4</v>
      </c>
      <c r="J5">
        <f>IF(I5&gt;=8,"Élevé",IF(I5&gt;=4,"Moyen","Faible"))</f>
        <v/>
      </c>
      <c r="K5" t="n">
        <v>4</v>
      </c>
      <c r="L5">
        <f>IF(K5&gt;=8,"Élevé",IF(K5&gt;=4,"Moyen","Faible"))</f>
        <v/>
      </c>
    </row>
    <row r="6">
      <c r="A6" t="inlineStr">
        <is>
          <t>R5</t>
        </is>
      </c>
      <c r="B6" t="n">
        <v>4</v>
      </c>
      <c r="C6" t="n">
        <v>4</v>
      </c>
      <c r="D6">
        <f>IF(C6&gt;=8,"Élevé",IF(C6&gt;=4,"Moyen","Faible"))</f>
        <v/>
      </c>
      <c r="E6" t="n">
        <v>3.4</v>
      </c>
      <c r="F6">
        <f>IF(E6&gt;=8,"Élevé",IF(E6&gt;=4,"Moyen","Faible"))</f>
        <v/>
      </c>
      <c r="G6" t="n">
        <v>3</v>
      </c>
      <c r="H6">
        <f>IF(G6&gt;=8,"Élevé",IF(G6&gt;=4,"Moyen","Faible"))</f>
        <v/>
      </c>
      <c r="I6" t="n">
        <v>3</v>
      </c>
      <c r="J6">
        <f>IF(I6&gt;=8,"Élevé",IF(I6&gt;=4,"Moyen","Faible"))</f>
        <v/>
      </c>
      <c r="K6" t="n">
        <v>3</v>
      </c>
      <c r="L6">
        <f>IF(K6&gt;=8,"Élevé",IF(K6&gt;=4,"Moyen","Faible"))</f>
        <v/>
      </c>
    </row>
    <row r="7">
      <c r="A7" t="inlineStr">
        <is>
          <t>R6</t>
        </is>
      </c>
      <c r="B7" t="n">
        <v>16</v>
      </c>
      <c r="C7" t="n">
        <v>16</v>
      </c>
      <c r="D7">
        <f>IF(C7&gt;=8,"Élevé",IF(C7&gt;=4,"Moyen","Faible"))</f>
        <v/>
      </c>
      <c r="E7" t="n">
        <v>9.9</v>
      </c>
      <c r="F7">
        <f>IF(E7&gt;=8,"Élevé",IF(E7&gt;=4,"Moyen","Faible"))</f>
        <v/>
      </c>
      <c r="G7" t="n">
        <v>6.6</v>
      </c>
      <c r="H7">
        <f>IF(G7&gt;=8,"Élevé",IF(G7&gt;=4,"Moyen","Faible"))</f>
        <v/>
      </c>
      <c r="I7" t="n">
        <v>6</v>
      </c>
      <c r="J7">
        <f>IF(I7&gt;=8,"Élevé",IF(I7&gt;=4,"Moyen","Faible"))</f>
        <v/>
      </c>
      <c r="K7" t="n">
        <v>6</v>
      </c>
      <c r="L7">
        <f>IF(K7&gt;=8,"Élevé",IF(K7&gt;=4,"Moyen","Faible"))</f>
        <v/>
      </c>
    </row>
    <row r="8">
      <c r="A8" t="inlineStr">
        <is>
          <t>R7</t>
        </is>
      </c>
      <c r="B8" t="n">
        <v>12</v>
      </c>
      <c r="C8" t="n">
        <v>12</v>
      </c>
      <c r="D8">
        <f>IF(C8&gt;=8,"Élevé",IF(C8&gt;=4,"Moyen","Faible"))</f>
        <v/>
      </c>
      <c r="E8" t="n">
        <v>8.4</v>
      </c>
      <c r="F8">
        <f>IF(E8&gt;=8,"Élevé",IF(E8&gt;=4,"Moyen","Faible"))</f>
        <v/>
      </c>
      <c r="G8" t="n">
        <v>6</v>
      </c>
      <c r="H8">
        <f>IF(G8&gt;=8,"Élevé",IF(G8&gt;=4,"Moyen","Faible"))</f>
        <v/>
      </c>
      <c r="I8" t="n">
        <v>6</v>
      </c>
      <c r="J8">
        <f>IF(I8&gt;=8,"Élevé",IF(I8&gt;=4,"Moyen","Faible"))</f>
        <v/>
      </c>
      <c r="K8" t="n">
        <v>6</v>
      </c>
      <c r="L8">
        <f>IF(K8&gt;=8,"Élevé",IF(K8&gt;=4,"Moyen","Faible"))</f>
        <v/>
      </c>
    </row>
    <row r="9">
      <c r="A9" s="4" t="inlineStr">
        <is>
          <t>Moyenne</t>
        </is>
      </c>
      <c r="B9" s="4">
        <f>AVERAGE(B2:B8)</f>
        <v/>
      </c>
      <c r="C9" s="4">
        <f>AVERAGE(C2:C8)</f>
        <v/>
      </c>
      <c r="D9" s="4" t="inlineStr"/>
      <c r="E9" s="4">
        <f>AVERAGE(E2:E8)</f>
        <v/>
      </c>
      <c r="F9" s="4" t="inlineStr"/>
      <c r="G9" s="4">
        <f>AVERAGE(G2:G8)</f>
        <v/>
      </c>
      <c r="H9" s="4" t="inlineStr"/>
      <c r="I9" s="4">
        <f>AVERAGE(I2:I8)</f>
        <v/>
      </c>
      <c r="J9" s="4" t="inlineStr"/>
      <c r="K9" s="4">
        <f>AVERAGE(K2:K8)</f>
        <v/>
      </c>
      <c r="L9" s="4" t="inlineStr"/>
    </row>
    <row r="10">
      <c r="A10" s="4" t="inlineStr">
        <is>
          <t>Risques au niveau Élevé</t>
        </is>
      </c>
      <c r="B10" s="4">
        <f>COUNTIF(D2:D8,"Élevé")</f>
        <v/>
      </c>
      <c r="C10" s="4" t="inlineStr"/>
      <c r="D10" s="4" t="inlineStr"/>
      <c r="E10" s="4">
        <f>COUNTIF(F2:F8,"Élevé")</f>
        <v/>
      </c>
      <c r="F10" s="4" t="inlineStr"/>
      <c r="G10" s="4">
        <f>COUNTIF(H2:H8,"Élevé")</f>
        <v/>
      </c>
      <c r="H10" s="4" t="inlineStr"/>
      <c r="I10" s="4">
        <f>COUNTIF(J2:J8,"Élevé")</f>
        <v/>
      </c>
      <c r="J10" s="4" t="inlineStr"/>
      <c r="K10" s="4">
        <f>COUNTIF(L2:L8,"Élevé")</f>
        <v/>
      </c>
      <c r="L10" s="4" t="inlineStr"/>
    </row>
    <row r="12">
      <c r="A12" s="5" t="inlineStr">
        <is>
          <t>Enveloppe budgétaire estimée (mesures restant à réaliser : 24 sur 26)</t>
        </is>
      </c>
    </row>
    <row r="13">
      <c r="A13" s="6" t="inlineStr">
        <is>
          <t>Priorité</t>
        </is>
      </c>
      <c r="B13" s="6" t="inlineStr">
        <is>
          <t>Mesures</t>
        </is>
      </c>
      <c r="C13" s="6" t="inlineStr">
        <is>
          <t>Budget</t>
        </is>
      </c>
    </row>
    <row r="14">
      <c r="A14" t="inlineStr">
        <is>
          <t>P1</t>
        </is>
      </c>
      <c r="B14" t="n">
        <v>16</v>
      </c>
      <c r="C14" t="inlineStr">
        <is>
          <t>310 à 1180 k€</t>
        </is>
      </c>
    </row>
    <row r="15">
      <c r="A15" t="inlineStr">
        <is>
          <t>P2</t>
        </is>
      </c>
      <c r="B15" t="n">
        <v>8</v>
      </c>
      <c r="C15" t="inlineStr">
        <is>
          <t>150 à 660 k€</t>
        </is>
      </c>
    </row>
    <row r="16">
      <c r="A16" t="inlineStr">
        <is>
          <t>P3</t>
        </is>
      </c>
      <c r="B16" t="n">
        <v>1</v>
      </c>
      <c r="C16" t="inlineStr">
        <is>
          <t>0 à 20 k€</t>
        </is>
      </c>
    </row>
    <row r="17">
      <c r="A17" s="7" t="inlineStr">
        <is>
          <t>Total : entre 460 et 1860 k€, sur 18 mois</t>
        </is>
      </c>
    </row>
  </sheetData>
  <autoFilter ref="A1:L8"/>
  <conditionalFormatting sqref="D2:D8">
    <cfRule type="cellIs" priority="1" operator="equal" dxfId="0">
      <formula>"Faible"</formula>
    </cfRule>
    <cfRule type="cellIs" priority="2" operator="equal" dxfId="1">
      <formula>"Moyen"</formula>
    </cfRule>
    <cfRule type="cellIs" priority="3" operator="equal" dxfId="2">
      <formula>"Élevé"</formula>
    </cfRule>
  </conditionalFormatting>
  <conditionalFormatting sqref="F2:F8">
    <cfRule type="cellIs" priority="4" operator="equal" dxfId="0">
      <formula>"Faible"</formula>
    </cfRule>
    <cfRule type="cellIs" priority="5" operator="equal" dxfId="1">
      <formula>"Moyen"</formula>
    </cfRule>
    <cfRule type="cellIs" priority="6" operator="equal" dxfId="2">
      <formula>"Élevé"</formula>
    </cfRule>
  </conditionalFormatting>
  <conditionalFormatting sqref="H2:H8">
    <cfRule type="cellIs" priority="7" operator="equal" dxfId="0">
      <formula>"Faible"</formula>
    </cfRule>
    <cfRule type="cellIs" priority="8" operator="equal" dxfId="1">
      <formula>"Moyen"</formula>
    </cfRule>
    <cfRule type="cellIs" priority="9" operator="equal" dxfId="2">
      <formula>"Élevé"</formula>
    </cfRule>
  </conditionalFormatting>
  <conditionalFormatting sqref="J2:J8">
    <cfRule type="cellIs" priority="10" operator="equal" dxfId="0">
      <formula>"Faible"</formula>
    </cfRule>
    <cfRule type="cellIs" priority="11" operator="equal" dxfId="1">
      <formula>"Moyen"</formula>
    </cfRule>
    <cfRule type="cellIs" priority="12" operator="equal" dxfId="2">
      <formula>"Élevé"</formula>
    </cfRule>
  </conditionalFormatting>
  <conditionalFormatting sqref="L2:L8">
    <cfRule type="cellIs" priority="13" operator="equal" dxfId="0">
      <formula>"Faible"</formula>
    </cfRule>
    <cfRule type="cellIs" priority="14" operator="equal" dxfId="1">
      <formula>"Moyen"</formula>
    </cfRule>
    <cfRule type="cellIs" priority="15" operator="equal" dxfId="2">
      <formula>"Élevé"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2026-09-23T01:34:45Z</dcterms:created>
  <dcterms:modified xmlns:dcterms="http://purl.org/dc/terms/" xmlns:xsi="http://www.w3.org/2001/XMLSchema-instance" xsi:type="dcterms:W3CDTF">2026-09-23T01:34:45Z</dcterms:modified>
</cp:coreProperties>
</file>